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tilla" sheetId="1" state="visible" r:id="rId1"/>
    <sheet name="Participantes" sheetId="2" state="visible" r:id="rId2"/>
  </sheets>
  <definedNames>
    <definedName name="_Hlk52262180" localSheetId="0">plantilla!#REF!</definedName>
    <definedName name="_xlnm.Print_Area" localSheetId="0">'plantilla'!$A$1:$H$32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20" fontId="8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1" fontId="10" fillId="0" borderId="0" applyAlignment="1" pivotButton="0" quotePrefix="0" xfId="0">
      <alignment horizontal="right" vertical="center"/>
    </xf>
    <xf numFmtId="0" fontId="18" fillId="0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" fillId="0" borderId="2" applyAlignment="1" pivotButton="0" quotePrefix="0" xfId="0">
      <alignment horizontal="left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7"/>
  <sheetViews>
    <sheetView tabSelected="1" topLeftCell="A3" zoomScaleNormal="100" workbookViewId="0">
      <selection activeCell="H26" sqref="H26"/>
    </sheetView>
  </sheetViews>
  <sheetFormatPr baseColWidth="10" defaultColWidth="10.77734375" defaultRowHeight="14.4"/>
  <cols>
    <col width="5.33203125" customWidth="1" style="27" min="1" max="1"/>
    <col width="1.21875" customWidth="1" style="27" min="2" max="2"/>
    <col width="2.44140625" customWidth="1" style="27" min="3" max="3"/>
    <col width="28.88671875" customWidth="1" style="27" min="5" max="5"/>
    <col width="13.6640625" customWidth="1" style="27" min="6" max="6"/>
    <col width="18.44140625" customWidth="1" style="27" min="7" max="8"/>
    <col width="18.44140625" customWidth="1" style="15" min="9" max="10"/>
    <col width="10.77734375" customWidth="1" style="15" min="11" max="13"/>
    <col width="3.21875" customWidth="1" style="15" min="14" max="15"/>
    <col width="4.44140625" customWidth="1" style="15" min="16" max="16"/>
    <col width="16.21875" customWidth="1" style="27" min="17" max="17"/>
    <col width="19.109375" customWidth="1" style="27" min="18" max="18"/>
  </cols>
  <sheetData>
    <row r="1" ht="21.6" customHeight="1" s="27" thickBot="1">
      <c r="A1" s="13" t="inlineStr">
        <is>
          <t>La Gatazo</t>
        </is>
      </c>
      <c r="B1" s="5" t="n"/>
      <c r="C1" s="5" t="n"/>
      <c r="D1" s="44" t="inlineStr">
        <is>
          <t>Programa para la reunión de entre semana</t>
        </is>
      </c>
      <c r="E1" s="45" t="n"/>
      <c r="F1" s="45" t="n"/>
      <c r="G1" s="45" t="n"/>
      <c r="H1" s="45" t="n"/>
    </row>
    <row r="2" ht="12.6" customHeight="1" s="27" thickTop="1">
      <c r="A2" s="31">
        <f>+I2</f>
        <v/>
      </c>
      <c r="B2" s="32" t="n"/>
      <c r="C2" s="32" t="n"/>
      <c r="D2" s="33" t="n"/>
      <c r="E2" s="46">
        <f>+J2</f>
        <v/>
      </c>
      <c r="F2" s="32" t="n"/>
      <c r="G2" s="41" t="inlineStr">
        <is>
          <t>Presidente</t>
        </is>
      </c>
      <c r="H2" s="2">
        <f>+K2</f>
        <v/>
      </c>
      <c r="I2" s="42" t="inlineStr">
        <is>
          <t>9-15 DE MARZO</t>
        </is>
      </c>
      <c r="J2" s="42" t="inlineStr">
        <is>
          <t>ISAÍAS 43, 44</t>
        </is>
      </c>
      <c r="K2" t="inlineStr">
        <is>
          <t>Edwin Encalada</t>
        </is>
      </c>
    </row>
    <row r="3" ht="12.6" customHeight="1" s="27">
      <c r="A3" s="1" t="n"/>
      <c r="B3" s="1" t="n"/>
      <c r="C3" s="1" t="n"/>
      <c r="F3" s="41" t="inlineStr">
        <is>
          <t>Consejero de la Sala Auxiliar</t>
        </is>
      </c>
      <c r="H3" s="2">
        <f>+K3</f>
        <v/>
      </c>
      <c r="I3" s="42" t="n"/>
      <c r="J3" s="42" t="n"/>
      <c r="K3" t="inlineStr">
        <is>
          <t>Manuel Vizcaino</t>
        </is>
      </c>
    </row>
    <row r="4" ht="12.6" customHeight="1" s="27">
      <c r="A4" s="26" t="n">
        <v>0.7916666666666666</v>
      </c>
      <c r="B4" s="26" t="n"/>
      <c r="C4" s="6">
        <f>+"■"</f>
        <v/>
      </c>
      <c r="D4" s="42">
        <f>+I4</f>
        <v/>
      </c>
      <c r="G4" s="41" t="inlineStr">
        <is>
          <t>Oración</t>
        </is>
      </c>
      <c r="H4" s="2">
        <f>+K4</f>
        <v/>
      </c>
      <c r="I4" s="42" t="inlineStr">
        <is>
          <t>Canción 63: ¡Soy testigo de Jehová!</t>
        </is>
      </c>
      <c r="J4" s="42" t="n"/>
      <c r="K4" t="inlineStr">
        <is>
          <t>Abel Peralta</t>
        </is>
      </c>
    </row>
    <row r="5" ht="12.6" customHeight="1" s="27">
      <c r="A5" s="26" t="n">
        <v>0.7951388888888888</v>
      </c>
      <c r="B5" s="26" t="n"/>
      <c r="C5" s="6">
        <f>+"■"</f>
        <v/>
      </c>
      <c r="D5" s="42" t="inlineStr">
        <is>
          <t>Palabras de Introducción (1 min.)</t>
        </is>
      </c>
      <c r="H5" s="2" t="n"/>
      <c r="I5" s="42" t="n"/>
      <c r="J5" s="23" t="n"/>
      <c r="Q5" s="19" t="n"/>
    </row>
    <row r="6" ht="12.6" customHeight="1" s="27">
      <c r="A6" s="29" t="inlineStr">
        <is>
          <t>Tesoros de la Biblia</t>
        </is>
      </c>
      <c r="G6" s="8" t="inlineStr">
        <is>
          <t>Sala Auxiliar</t>
        </is>
      </c>
      <c r="H6" s="8" t="inlineStr">
        <is>
          <t>Auditorio Principal</t>
        </is>
      </c>
      <c r="I6" s="24" t="n"/>
      <c r="J6" s="24" t="n"/>
    </row>
    <row r="7" ht="16.8" customHeight="1" s="27">
      <c r="A7" s="26" t="n">
        <v>0.7958333333333333</v>
      </c>
      <c r="C7" s="30">
        <f>+"1."</f>
        <v/>
      </c>
      <c r="D7" s="28">
        <f>RIGHT(I7,LEN(I7)-SEARCH(". ",I7)-1)&amp;" ("&amp;J7&amp;")"</f>
        <v/>
      </c>
      <c r="H7" s="2">
        <f>+K7</f>
        <v/>
      </c>
      <c r="I7" s="42" t="inlineStr">
        <is>
          <t>1. Una profecía escrita dos siglos antes de su cumplimiento</t>
        </is>
      </c>
      <c r="J7" s="42" t="inlineStr">
        <is>
          <t>10 mins.</t>
        </is>
      </c>
      <c r="K7" t="inlineStr">
        <is>
          <t>Israel Rocha</t>
        </is>
      </c>
    </row>
    <row r="8" ht="16.8" customHeight="1" s="27">
      <c r="A8" s="26" t="n">
        <v>0.8027777777777778</v>
      </c>
      <c r="C8" s="30">
        <f>+"2."</f>
        <v/>
      </c>
      <c r="D8" s="35" t="inlineStr">
        <is>
          <t>Busquemos perlas escondidas (10 mins.)</t>
        </is>
      </c>
      <c r="H8" s="2">
        <f>+K8</f>
        <v/>
      </c>
      <c r="I8" s="42" t="n"/>
      <c r="J8" s="42" t="n"/>
      <c r="K8" t="inlineStr">
        <is>
          <t>Jaime Mera</t>
        </is>
      </c>
    </row>
    <row r="9" ht="16.8" customHeight="1" s="27">
      <c r="A9" s="26" t="n">
        <v>0.8097222222222222</v>
      </c>
      <c r="C9" s="30">
        <f>+"3."</f>
        <v/>
      </c>
      <c r="D9" s="35" t="inlineStr">
        <is>
          <t>Lectura de la Biblia (4 mins.)</t>
        </is>
      </c>
      <c r="F9" s="41" t="inlineStr">
        <is>
          <t>Estudiante:</t>
        </is>
      </c>
      <c r="G9" s="2">
        <f>+Q9</f>
        <v/>
      </c>
      <c r="H9" s="2">
        <f>+K9</f>
        <v/>
      </c>
      <c r="I9" s="42" t="n"/>
      <c r="J9" s="42" t="n"/>
      <c r="K9" t="inlineStr">
        <is>
          <t>Kenneth López</t>
        </is>
      </c>
      <c r="L9" t="inlineStr">
        <is>
          <t>3. Lectura de la Biblia</t>
        </is>
      </c>
      <c r="M9" t="inlineStr">
        <is>
          <t>4 mins.</t>
        </is>
      </c>
      <c r="Q9" t="inlineStr">
        <is>
          <t>Jorge Bolaños</t>
        </is>
      </c>
      <c r="R9" s="2" t="n"/>
      <c r="S9" s="2" t="n"/>
    </row>
    <row r="10" ht="12.6" customHeight="1" s="27">
      <c r="A10" s="38" t="inlineStr">
        <is>
          <t>Seamos Mejores Maestros</t>
        </is>
      </c>
      <c r="G10" s="8" t="inlineStr">
        <is>
          <t>Sala Auxiliar</t>
        </is>
      </c>
      <c r="H10" s="8" t="inlineStr">
        <is>
          <t>Auditorio Principal</t>
        </is>
      </c>
      <c r="I10" s="24" t="n"/>
      <c r="J10" s="24" t="n"/>
      <c r="Q10" s="17" t="n"/>
    </row>
    <row r="11" ht="13.8" customHeight="1" s="27">
      <c r="A11" s="26">
        <f>A9+TEXT(LEFT(M11, FIND(" ", M11)-1)/1440, "hh:mm")</f>
        <v/>
      </c>
      <c r="C11" s="30">
        <f>+"4."</f>
        <v/>
      </c>
      <c r="D11" s="35">
        <f>RIGHT(L11,LEN(L11)-SEARCH(". ",L11)-1)&amp;" ("&amp;M11&amp;")"</f>
        <v/>
      </c>
      <c r="F11" s="37" t="inlineStr">
        <is>
          <t>Estudiante/Ayudante:</t>
        </is>
      </c>
      <c r="G11" s="34">
        <f>Q11&amp;" / "&amp;Q12</f>
        <v/>
      </c>
      <c r="H11" s="34">
        <f>K11&amp;" / "&amp;K12</f>
        <v/>
      </c>
      <c r="I11" s="25" t="n"/>
      <c r="J11" s="42" t="n"/>
      <c r="K11" t="inlineStr">
        <is>
          <t>Pedro Apolinario</t>
        </is>
      </c>
      <c r="L11" t="inlineStr">
        <is>
          <t>4. Empiece conversaciones</t>
        </is>
      </c>
      <c r="M11" t="inlineStr">
        <is>
          <t>1 min.</t>
        </is>
      </c>
      <c r="Q11" t="inlineStr">
        <is>
          <t>Fernando Cajas</t>
        </is>
      </c>
      <c r="R11" s="2" t="n"/>
      <c r="S11" s="2" t="n"/>
    </row>
    <row r="12" ht="13.8" customHeight="1" s="27">
      <c r="K12" t="inlineStr">
        <is>
          <t>Jhon Jairo Cabrera</t>
        </is>
      </c>
      <c r="Q12" t="inlineStr">
        <is>
          <t>Ezequiel Ortega</t>
        </is>
      </c>
      <c r="R12" s="2" t="n"/>
      <c r="S12" s="2" t="n"/>
    </row>
    <row r="13" ht="13.8" customHeight="1" s="27">
      <c r="A13" s="26">
        <f>A11+TEXT(LEFT(M13, FIND(" ", M13)-1)/1440, "hh:mm")</f>
        <v/>
      </c>
      <c r="C13" s="30">
        <f>+"5."</f>
        <v/>
      </c>
      <c r="D13" s="35">
        <f>RIGHT(L13,LEN(L13)-SEARCH(". ",L13)-1)&amp;" ("&amp;M13&amp;")"</f>
        <v/>
      </c>
      <c r="F13" s="37" t="inlineStr">
        <is>
          <t>Estudiante/Ayudante:</t>
        </is>
      </c>
      <c r="G13" s="34">
        <f>Q13&amp;" / "&amp;Q14</f>
        <v/>
      </c>
      <c r="H13" s="34">
        <f>K13&amp;" / "&amp;K14</f>
        <v/>
      </c>
      <c r="I13" s="25" t="n"/>
      <c r="J13" s="42" t="n"/>
      <c r="K13" t="inlineStr">
        <is>
          <t>Daysi Espinoza</t>
        </is>
      </c>
      <c r="L13" t="inlineStr">
        <is>
          <t>5. Empiece conversaciones</t>
        </is>
      </c>
      <c r="M13" t="inlineStr">
        <is>
          <t>3 mins.</t>
        </is>
      </c>
      <c r="Q13" t="inlineStr">
        <is>
          <t>Cristina de Fernandez</t>
        </is>
      </c>
      <c r="R13" s="2" t="n"/>
      <c r="S13" s="2" t="n"/>
    </row>
    <row r="14" ht="13.8" customHeight="1" s="27">
      <c r="K14" t="inlineStr">
        <is>
          <t>Blanca de Condor</t>
        </is>
      </c>
      <c r="Q14" t="inlineStr">
        <is>
          <t>Geovanna Cedeño</t>
        </is>
      </c>
      <c r="R14" s="2" t="n"/>
      <c r="S14" s="2" t="n"/>
    </row>
    <row r="15" ht="13.8" customHeight="1" s="27">
      <c r="A15" s="26">
        <f>A13+TEXT(LEFT(M15, FIND(" ", M15)-1)/1440, "hh:mm")</f>
        <v/>
      </c>
      <c r="C15" s="30">
        <f>+"6."</f>
        <v/>
      </c>
      <c r="D15" s="35">
        <f>RIGHT(L15,LEN(L15)-SEARCH(". ",L15)-1)&amp;" ("&amp;M15&amp;")"</f>
        <v/>
      </c>
      <c r="F15" s="37" t="inlineStr">
        <is>
          <t>Estudiante/Ayudante:</t>
        </is>
      </c>
      <c r="G15" s="34">
        <f>Q15&amp;" / "&amp;Q16</f>
        <v/>
      </c>
      <c r="H15" s="34">
        <f>K15&amp;" / "&amp;K16</f>
        <v/>
      </c>
      <c r="I15" s="25" t="n"/>
      <c r="J15" s="42" t="n"/>
      <c r="K15" t="inlineStr">
        <is>
          <t>Maricela de Montes</t>
        </is>
      </c>
      <c r="L15" t="inlineStr">
        <is>
          <t>6. Empiece conversaciones</t>
        </is>
      </c>
      <c r="M15" t="inlineStr">
        <is>
          <t>3 mins.</t>
        </is>
      </c>
      <c r="Q15" t="inlineStr">
        <is>
          <t>Jenyffer Cadena</t>
        </is>
      </c>
      <c r="R15" s="2" t="n"/>
      <c r="S15" s="2" t="n"/>
    </row>
    <row r="16" ht="13.8" customHeight="1" s="27">
      <c r="K16" t="inlineStr">
        <is>
          <t>Abigail Rodriguez</t>
        </is>
      </c>
      <c r="Q16" t="inlineStr">
        <is>
          <t>Myrian de Jato</t>
        </is>
      </c>
      <c r="R16" s="2" t="n"/>
      <c r="S16" s="2" t="n"/>
    </row>
    <row r="17" ht="13.8" customHeight="1" s="27">
      <c r="A17" s="26">
        <f>A15+TEXT(LEFT(M17, FIND(" ", M17)-1)/1440, "hh:mm")</f>
        <v/>
      </c>
      <c r="C17" s="30" t="inlineStr">
        <is>
          <t>7.</t>
        </is>
      </c>
      <c r="D17" s="35">
        <f>RIGHT(L17,LEN(L17)-SEARCH(". ",L17)-1)&amp;" ("&amp;M17&amp;")"</f>
        <v/>
      </c>
      <c r="F17" s="37" t="inlineStr">
        <is>
          <t>Estudiante/Ayudante:</t>
        </is>
      </c>
      <c r="G17" s="34">
        <f>IFERROR(Q17 &amp; " / " &amp; Q18,Q17)</f>
        <v/>
      </c>
      <c r="H17" s="34">
        <f>IFERROR(K17 &amp; " / " &amp; K18,K17)</f>
        <v/>
      </c>
      <c r="I17" s="25" t="n"/>
      <c r="J17" s="42" t="n"/>
      <c r="K17" t="inlineStr">
        <is>
          <t>Nataly Quiñonez</t>
        </is>
      </c>
      <c r="L17" t="inlineStr">
        <is>
          <t>7. Haga revisitas</t>
        </is>
      </c>
      <c r="M17" t="inlineStr">
        <is>
          <t>4 mins.</t>
        </is>
      </c>
      <c r="Q17" t="inlineStr">
        <is>
          <t>Marlene de Rocha</t>
        </is>
      </c>
      <c r="R17" s="2" t="n"/>
      <c r="S17" s="2" t="n"/>
    </row>
    <row r="18" ht="13.8" customHeight="1" s="27">
      <c r="K18" t="inlineStr">
        <is>
          <t>Marlene Molina</t>
        </is>
      </c>
      <c r="Q18" t="inlineStr">
        <is>
          <t>Paola de Lagla</t>
        </is>
      </c>
      <c r="R18" s="2" t="n"/>
      <c r="S18" s="2" t="n"/>
    </row>
    <row r="19" ht="12.6" customHeight="1" s="27">
      <c r="A19" s="40" t="inlineStr">
        <is>
          <t>Nuestra Vida Cristiana</t>
        </is>
      </c>
    </row>
    <row r="20" ht="12.6" customHeight="1" s="27">
      <c r="A20" s="26" t="n">
        <v>0.8236111111111111</v>
      </c>
      <c r="C20" s="12">
        <f>+"■"</f>
        <v/>
      </c>
      <c r="D20" s="42">
        <f>+I20</f>
        <v/>
      </c>
      <c r="H20" s="39" t="n"/>
      <c r="I20" t="inlineStr">
        <is>
          <t>Canción 69: Prediquen las nuevas del Reino</t>
        </is>
      </c>
      <c r="J20" s="23" t="n"/>
    </row>
    <row r="21" ht="16.8" customHeight="1" s="27">
      <c r="A21" s="26" t="n">
        <v>0.8263888888888888</v>
      </c>
      <c r="C21" s="30" t="inlineStr">
        <is>
          <t>8.</t>
        </is>
      </c>
      <c r="D21" s="35">
        <f>RIGHT(I21,LEN(I21)-SEARCH(". ",I21)-1)&amp;" ("&amp;J21&amp;")"</f>
        <v/>
      </c>
      <c r="H21" s="2">
        <f>+K21</f>
        <v/>
      </c>
      <c r="I21" s="42" t="n"/>
      <c r="J21" s="42" t="n"/>
      <c r="Q21" s="14" t="n"/>
      <c r="R21" s="20" t="n"/>
    </row>
    <row r="22" ht="15" customHeight="1" s="27">
      <c r="A22" s="26" t="n">
        <v>0.8368055555555556</v>
      </c>
      <c r="C22" s="30" t="inlineStr">
        <is>
          <t>9.</t>
        </is>
      </c>
      <c r="D22" s="35" t="inlineStr">
        <is>
          <t>Estudio bíblico de la congregación (30 mins.)</t>
        </is>
      </c>
      <c r="G22" s="43" t="inlineStr">
        <is>
          <t>Conductor/Lector:</t>
        </is>
      </c>
      <c r="H22" s="2">
        <f>+K22</f>
        <v/>
      </c>
      <c r="I22" s="42" t="n"/>
      <c r="J22" s="42" t="n"/>
      <c r="Q22" s="20" t="n"/>
      <c r="R22" s="20" t="n"/>
    </row>
    <row r="23" ht="12.6" customHeight="1" s="27">
      <c r="H23" s="2">
        <f>+K23</f>
        <v/>
      </c>
      <c r="I23" s="42" t="n"/>
      <c r="J23" s="42" t="n"/>
      <c r="Q23" s="19" t="n"/>
    </row>
    <row r="24" ht="12.6" customHeight="1" s="27">
      <c r="A24" s="26" t="n">
        <v>0.8576388888888888</v>
      </c>
      <c r="B24" s="26" t="n"/>
      <c r="C24" s="12">
        <f>+"■"</f>
        <v/>
      </c>
      <c r="D24" s="9" t="inlineStr">
        <is>
          <t>Palabras de conclusión</t>
        </is>
      </c>
      <c r="E24" s="9" t="n"/>
      <c r="H24" s="2" t="n"/>
      <c r="I24" s="42" t="n"/>
      <c r="J24" s="42" t="n"/>
      <c r="Q24" s="17" t="n"/>
    </row>
    <row r="25" ht="12.6" customHeight="1" s="27">
      <c r="A25" s="26" t="n">
        <v>0.8597222222222223</v>
      </c>
      <c r="B25" s="26" t="n"/>
      <c r="C25" s="12">
        <f>+"■"</f>
        <v/>
      </c>
      <c r="D25" s="36">
        <f>+I25</f>
        <v/>
      </c>
      <c r="E25" s="9" t="n"/>
      <c r="G25" s="41" t="inlineStr">
        <is>
          <t>Oración:</t>
        </is>
      </c>
      <c r="H25" s="2">
        <f>+K25</f>
        <v/>
      </c>
      <c r="I25" s="42" t="inlineStr">
        <is>
          <t>Canción 137: Fieles, valiosas, amadas</t>
        </is>
      </c>
      <c r="J25" s="42" t="n"/>
      <c r="K25" t="inlineStr">
        <is>
          <t>Carlos Pastás</t>
        </is>
      </c>
      <c r="Q25" s="14" t="n"/>
    </row>
    <row r="26" ht="19.2" customHeight="1" s="27"/>
    <row r="27" ht="15" customHeight="1" s="27">
      <c r="A27" s="26" t="n"/>
      <c r="C27" s="30" t="n"/>
      <c r="D27" s="35" t="n"/>
      <c r="F27" s="39" t="n"/>
      <c r="G27" s="43" t="n"/>
      <c r="H27" s="2" t="n"/>
      <c r="I27" s="42" t="n"/>
      <c r="J27" s="42" t="n"/>
      <c r="Q27" s="17" t="n"/>
      <c r="R27" s="20" t="n"/>
    </row>
    <row r="28" ht="15" customHeight="1" s="27">
      <c r="H28" s="2" t="n"/>
      <c r="I28" s="42" t="n"/>
      <c r="J28" s="42" t="n"/>
      <c r="R28" s="20" t="n"/>
    </row>
    <row r="29">
      <c r="A29" s="26" t="n"/>
      <c r="B29" s="26" t="n"/>
      <c r="C29" s="12" t="n"/>
      <c r="D29" s="9" t="n"/>
      <c r="E29" s="9" t="n"/>
      <c r="H29" s="2" t="n"/>
      <c r="I29" s="42" t="n"/>
      <c r="J29" s="42" t="n"/>
    </row>
    <row r="30">
      <c r="A30" s="26" t="n"/>
      <c r="B30" s="26" t="n"/>
      <c r="C30" s="12" t="n"/>
      <c r="D30" s="36" t="n"/>
      <c r="G30" s="41" t="n"/>
      <c r="H30" s="2" t="n"/>
      <c r="I30" s="42" t="n"/>
      <c r="J30" s="42" t="n"/>
      <c r="Q30" s="16" t="n"/>
    </row>
    <row r="31" ht="12" customHeight="1" s="27"/>
    <row r="32">
      <c r="A32" s="3" t="n"/>
    </row>
    <row r="33">
      <c r="U33" s="18" t="n"/>
    </row>
    <row r="37">
      <c r="E37" s="18" t="n"/>
    </row>
  </sheetData>
  <mergeCells count="48">
    <mergeCell ref="F15:F16"/>
    <mergeCell ref="D20:E20"/>
    <mergeCell ref="G17:G18"/>
    <mergeCell ref="D1:H1"/>
    <mergeCell ref="G13:G14"/>
    <mergeCell ref="D15:E16"/>
    <mergeCell ref="H11:H12"/>
    <mergeCell ref="C22:C23"/>
    <mergeCell ref="F3:G3"/>
    <mergeCell ref="A27:A28"/>
    <mergeCell ref="H17:H18"/>
    <mergeCell ref="F17:F18"/>
    <mergeCell ref="D4:F4"/>
    <mergeCell ref="G15:G16"/>
    <mergeCell ref="C11:C12"/>
    <mergeCell ref="D30:F30"/>
    <mergeCell ref="F13:F14"/>
    <mergeCell ref="A10:F10"/>
    <mergeCell ref="H13:H14"/>
    <mergeCell ref="F27:F28"/>
    <mergeCell ref="D5:F5"/>
    <mergeCell ref="A22:A23"/>
    <mergeCell ref="A19:F19"/>
    <mergeCell ref="E2:F2"/>
    <mergeCell ref="A17:A18"/>
    <mergeCell ref="A13:A14"/>
    <mergeCell ref="C17:C18"/>
    <mergeCell ref="C27:C28"/>
    <mergeCell ref="D21:G21"/>
    <mergeCell ref="H15:H16"/>
    <mergeCell ref="D22:E23"/>
    <mergeCell ref="D9:E9"/>
    <mergeCell ref="F11:F12"/>
    <mergeCell ref="D27:E28"/>
    <mergeCell ref="C13:C14"/>
    <mergeCell ref="D8:E8"/>
    <mergeCell ref="G22:G23"/>
    <mergeCell ref="G27:G28"/>
    <mergeCell ref="D17:E18"/>
    <mergeCell ref="D11:E12"/>
    <mergeCell ref="A15:A16"/>
    <mergeCell ref="D7:G7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Israel Rocha</dc:creator>
  <dcterms:created xsi:type="dcterms:W3CDTF">2024-04-20T03:06:52Z</dcterms:created>
  <dcterms:modified xsi:type="dcterms:W3CDTF">2026-03-10T22:12:06Z</dcterms:modified>
  <cp:lastModifiedBy>Israel Rocha</cp:lastModifiedBy>
  <cp:lastPrinted>2025-06-19T18:51:49Z</cp:lastPrinted>
</cp:coreProperties>
</file>