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1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/>
    </xf>
    <xf numFmtId="2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0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tabSelected="1" zoomScaleNormal="100" workbookViewId="0">
      <selection activeCell="I15" sqref="I15"/>
    </sheetView>
  </sheetViews>
  <sheetFormatPr baseColWidth="10" defaultColWidth="10.77734375" defaultRowHeight="14.4"/>
  <cols>
    <col width="5.33203125" customWidth="1" style="28" min="1" max="1"/>
    <col width="1.21875" customWidth="1" style="28" min="2" max="2"/>
    <col width="2.44140625" customWidth="1" style="28" min="3" max="3"/>
    <col width="28.88671875" customWidth="1" style="28" min="5" max="5"/>
    <col width="13.6640625" customWidth="1" style="28" min="6" max="6"/>
    <col width="18.44140625" customWidth="1" style="28" min="7" max="8"/>
    <col width="18.44140625" customWidth="1" style="14" min="9" max="10"/>
    <col width="10.77734375" customWidth="1" style="14" min="11" max="13"/>
    <col width="3.21875" customWidth="1" style="14" min="14" max="15"/>
    <col width="4.44140625" customWidth="1" style="14" min="16" max="16"/>
    <col width="16.21875" customWidth="1" style="28" min="17" max="17"/>
    <col width="19.109375" customWidth="1" style="28" min="18" max="18"/>
  </cols>
  <sheetData>
    <row r="1" ht="21.6" customHeight="1" s="28" thickBot="1">
      <c r="A1" s="12" t="inlineStr">
        <is>
          <t>La Gatazo</t>
        </is>
      </c>
      <c r="B1" s="4" t="n"/>
      <c r="C1" s="4" t="n"/>
      <c r="D1" s="31" t="inlineStr">
        <is>
          <t>Programa para la reunión de entre semana</t>
        </is>
      </c>
      <c r="E1" s="32" t="n"/>
      <c r="F1" s="32" t="n"/>
      <c r="G1" s="32" t="n"/>
      <c r="H1" s="32" t="n"/>
    </row>
    <row r="2" ht="12.6" customHeight="1" s="28" thickTop="1">
      <c r="A2" s="45">
        <f>+I2</f>
        <v/>
      </c>
      <c r="B2" s="43" t="n"/>
      <c r="C2" s="43" t="n"/>
      <c r="D2" s="46" t="n"/>
      <c r="E2" s="42">
        <f>+J2</f>
        <v/>
      </c>
      <c r="F2" s="43" t="n"/>
      <c r="G2" s="35" t="inlineStr">
        <is>
          <t>Presidente</t>
        </is>
      </c>
      <c r="H2" s="2">
        <f>+K2</f>
        <v/>
      </c>
      <c r="I2" s="38" t="inlineStr">
        <is>
          <t>28 DE SEPTIEMBRE A 4 DE OCTUBRE</t>
        </is>
      </c>
      <c r="J2" s="38" t="inlineStr">
        <is>
          <t>JEREMÍAS 38, 39</t>
        </is>
      </c>
      <c r="K2" t="inlineStr">
        <is>
          <t>Edwin Encalada</t>
        </is>
      </c>
      <c r="N2" t="n">
        <v>2026</v>
      </c>
    </row>
    <row r="3" ht="12.6" customHeight="1" s="28">
      <c r="A3" s="1" t="n"/>
      <c r="B3" s="1" t="n"/>
      <c r="C3" s="1" t="n"/>
      <c r="F3" s="35" t="inlineStr">
        <is>
          <t>Consejero de la Sala Auxiliar</t>
        </is>
      </c>
      <c r="H3" s="2">
        <f>+K3</f>
        <v/>
      </c>
      <c r="I3" s="38" t="n"/>
      <c r="J3" s="38" t="n"/>
      <c r="K3" t="inlineStr">
        <is>
          <t>Jandri Orozco</t>
        </is>
      </c>
    </row>
    <row r="4" ht="12.6" customHeight="1" s="28">
      <c r="A4" s="37" t="n">
        <v>0.7916666666666666</v>
      </c>
      <c r="B4" s="37" t="n"/>
      <c r="C4" s="5">
        <f>+"■"</f>
        <v/>
      </c>
      <c r="D4" s="38">
        <f>+I4</f>
        <v/>
      </c>
      <c r="G4" s="35" t="inlineStr">
        <is>
          <t>Oración</t>
        </is>
      </c>
      <c r="H4" s="2">
        <f>+K4</f>
        <v/>
      </c>
      <c r="I4" s="38" t="inlineStr">
        <is>
          <t>Canción 102: Ayudemos a los débiles</t>
        </is>
      </c>
      <c r="J4" s="38" t="n"/>
      <c r="K4" t="inlineStr">
        <is>
          <t>Abel Peralta</t>
        </is>
      </c>
    </row>
    <row r="5" ht="12.6" customHeight="1" s="28">
      <c r="A5" s="37" t="n">
        <v>0.7951388888888888</v>
      </c>
      <c r="B5" s="37" t="n"/>
      <c r="C5" s="5">
        <f>+"■"</f>
        <v/>
      </c>
      <c r="D5" s="38" t="inlineStr">
        <is>
          <t>Palabras de Introducción (1 min.)</t>
        </is>
      </c>
      <c r="H5" s="2" t="n"/>
      <c r="I5" s="38" t="n"/>
      <c r="Q5" s="18" t="n"/>
    </row>
    <row r="6" ht="12.6" customHeight="1" s="28">
      <c r="A6" s="44" t="inlineStr">
        <is>
          <t>Tesoros de la Biblia</t>
        </is>
      </c>
      <c r="G6" s="7" t="inlineStr">
        <is>
          <t>Sala Auxiliar</t>
        </is>
      </c>
      <c r="H6" s="7" t="inlineStr">
        <is>
          <t>Auditorio Principal</t>
        </is>
      </c>
      <c r="I6" s="22" t="n"/>
      <c r="J6" s="22" t="n"/>
    </row>
    <row r="7" ht="16.8" customHeight="1" s="28">
      <c r="A7" s="37" t="n">
        <v>0.7958333333333333</v>
      </c>
      <c r="C7" s="30">
        <f>+"1."</f>
        <v/>
      </c>
      <c r="D7" s="24">
        <f>RIGHT(I7,LEN(I7)-SEARCH(". ",I7)-1)&amp;" ("&amp;J7&amp;")"</f>
        <v/>
      </c>
      <c r="H7" s="2">
        <f>+K7</f>
        <v/>
      </c>
      <c r="I7" s="38" t="inlineStr">
        <is>
          <t>1. No dejemos de ayudarnos unos a otros</t>
        </is>
      </c>
      <c r="J7" s="38" t="inlineStr">
        <is>
          <t>10 mins.</t>
        </is>
      </c>
      <c r="K7" t="inlineStr">
        <is>
          <t>Marcos Alcivar</t>
        </is>
      </c>
    </row>
    <row r="8" ht="16.8" customHeight="1" s="28">
      <c r="A8" s="37" t="n">
        <v>0.8027777777777778</v>
      </c>
      <c r="C8" s="30">
        <f>+"2."</f>
        <v/>
      </c>
      <c r="D8" s="34" t="inlineStr">
        <is>
          <t>Busquemos perlas escondidas (10 mins.)</t>
        </is>
      </c>
      <c r="H8" s="2">
        <f>+K8</f>
        <v/>
      </c>
      <c r="I8" s="38" t="n"/>
      <c r="J8" s="38" t="n"/>
      <c r="K8" t="inlineStr">
        <is>
          <t>Manuel Vizcaino</t>
        </is>
      </c>
    </row>
    <row r="9" ht="16.8" customHeight="1" s="28">
      <c r="A9" s="37" t="n">
        <v>0.8097222222222222</v>
      </c>
      <c r="C9" s="30">
        <f>+"3."</f>
        <v/>
      </c>
      <c r="D9" s="34" t="inlineStr">
        <is>
          <t>Lectura de la Biblia (4 mins.)</t>
        </is>
      </c>
      <c r="F9" s="35" t="inlineStr">
        <is>
          <t>Estudiante:</t>
        </is>
      </c>
      <c r="G9" s="2">
        <f>+Q9</f>
        <v/>
      </c>
      <c r="H9" s="2">
        <f>+K9</f>
        <v/>
      </c>
      <c r="I9" s="38" t="n"/>
      <c r="J9" s="38" t="n"/>
      <c r="K9" t="inlineStr">
        <is>
          <t>Freddy Pérez</t>
        </is>
      </c>
      <c r="Q9" t="inlineStr">
        <is>
          <t>Jhon Jairo Cabrera</t>
        </is>
      </c>
      <c r="R9" s="2" t="n"/>
      <c r="S9" s="2" t="n"/>
    </row>
    <row r="10" ht="12.6" customHeight="1" s="28">
      <c r="A10" s="41" t="inlineStr">
        <is>
          <t>Seamos Mejores Maestros</t>
        </is>
      </c>
      <c r="G10" s="7" t="inlineStr">
        <is>
          <t>Sala Auxiliar</t>
        </is>
      </c>
      <c r="H10" s="7" t="inlineStr">
        <is>
          <t>Auditorio Principal</t>
        </is>
      </c>
      <c r="I10" s="22" t="n"/>
      <c r="J10" s="22" t="n"/>
      <c r="Q10" s="16" t="n"/>
    </row>
    <row r="11" ht="13.8" customHeight="1" s="28">
      <c r="A11" s="37">
        <f>A9+TEXT(LEFT(M11, FIND(" ", M11)-1)/1440, "hh:mm")</f>
        <v/>
      </c>
      <c r="C11" s="30">
        <f>+"4."</f>
        <v/>
      </c>
      <c r="D11" s="34">
        <f>RIGHT(L11,LEN(L11)-SEARCH(". ",L11)-1)&amp;" ("&amp;M11&amp;")"</f>
        <v/>
      </c>
      <c r="F11" s="27" t="inlineStr">
        <is>
          <t>Estudiante/Ayudante:</t>
        </is>
      </c>
      <c r="G11" s="33" t="inlineStr">
        <is>
          <t>Gabriela de Quiñonez / Fanny de Guilcazo</t>
        </is>
      </c>
      <c r="H11" s="33" t="inlineStr">
        <is>
          <t>Annabella Zambrano / Matilde Macias</t>
        </is>
      </c>
      <c r="I11" s="23" t="n"/>
      <c r="J11" s="38" t="n"/>
      <c r="K11" t="inlineStr">
        <is>
          <t>Annabella Zambrano</t>
        </is>
      </c>
      <c r="L11" t="inlineStr">
        <is>
          <t>4. Empiece conversaciones</t>
        </is>
      </c>
      <c r="M11" s="26" t="inlineStr">
        <is>
          <t>3 mins.</t>
        </is>
      </c>
      <c r="Q11" t="inlineStr">
        <is>
          <t>Gabriela de Quiñonez</t>
        </is>
      </c>
      <c r="R11" s="2" t="n"/>
      <c r="S11" s="2" t="n"/>
    </row>
    <row r="12" ht="13.8" customHeight="1" s="28">
      <c r="J12" s="26" t="n"/>
      <c r="K12" t="inlineStr">
        <is>
          <t>Matilde Macias</t>
        </is>
      </c>
      <c r="Q12" t="inlineStr">
        <is>
          <t>Fanny de Guilcazo</t>
        </is>
      </c>
      <c r="R12" s="2" t="n"/>
      <c r="S12" s="2" t="n"/>
    </row>
    <row r="13" ht="13.8" customHeight="1" s="28">
      <c r="A13" s="37">
        <f>A11+TEXT(LEFT(M13, FIND(" ", M13)-1)/1440, "hh:mm")</f>
        <v/>
      </c>
      <c r="C13" s="30">
        <f>+"5."</f>
        <v/>
      </c>
      <c r="D13" s="34">
        <f>RIGHT(L13,LEN(L13)-SEARCH(". ",L13)-1)&amp;" ("&amp;M13&amp;")"</f>
        <v/>
      </c>
      <c r="F13" s="27" t="inlineStr">
        <is>
          <t>Estudiante/Ayudante:</t>
        </is>
      </c>
      <c r="G13" s="33" t="inlineStr">
        <is>
          <t>Victoria Amagua / Catalina de Carrera</t>
        </is>
      </c>
      <c r="H13" s="33" t="inlineStr">
        <is>
          <t>Cristina de Fernandez / Sharon de Villareal</t>
        </is>
      </c>
      <c r="I13" s="23" t="n"/>
      <c r="J13" s="38" t="n"/>
      <c r="K13" t="inlineStr">
        <is>
          <t>Cristina de Fernandez</t>
        </is>
      </c>
      <c r="L13" t="inlineStr">
        <is>
          <t>5. Haga revisitas</t>
        </is>
      </c>
      <c r="M13" t="inlineStr">
        <is>
          <t>4 mins.</t>
        </is>
      </c>
      <c r="Q13" t="inlineStr">
        <is>
          <t>Victoria Amagua</t>
        </is>
      </c>
      <c r="R13" s="2" t="n"/>
      <c r="S13" s="2" t="n"/>
    </row>
    <row r="14" ht="13.8" customHeight="1" s="28">
      <c r="K14" t="inlineStr">
        <is>
          <t>Sharon de Villareal</t>
        </is>
      </c>
      <c r="Q14" t="inlineStr">
        <is>
          <t>Catalina de Carrera</t>
        </is>
      </c>
      <c r="R14" s="2" t="n"/>
      <c r="S14" s="2" t="n"/>
    </row>
    <row r="15" ht="13.8" customHeight="1" s="28">
      <c r="A15" s="37">
        <f>A13+TEXT(LEFT(M15, FIND(" ", M15)-1)/1440, "hh:mm")</f>
        <v/>
      </c>
      <c r="C15" s="30">
        <f>+"6."</f>
        <v/>
      </c>
      <c r="D15" s="34">
        <f>RIGHT(L15,LEN(L15)-SEARCH(". ",L15)-1)&amp;" ("&amp;M15&amp;")"</f>
        <v/>
      </c>
      <c r="F15" s="27" t="inlineStr">
        <is>
          <t>Estudiante/Ayudante:</t>
        </is>
      </c>
      <c r="G15" s="33" t="n"/>
      <c r="H15" s="33" t="inlineStr">
        <is>
          <t>Luis Chamorro</t>
        </is>
      </c>
      <c r="I15" s="23" t="n"/>
      <c r="J15" s="38" t="n"/>
      <c r="K15" t="inlineStr">
        <is>
          <t>Luis Chamorro</t>
        </is>
      </c>
      <c r="L15" t="inlineStr">
        <is>
          <t>6. ¿Qué diría?</t>
        </is>
      </c>
      <c r="M15" t="inlineStr">
        <is>
          <t>6 mins.</t>
        </is>
      </c>
      <c r="R15" s="2" t="n"/>
      <c r="S15" s="2" t="n"/>
    </row>
    <row r="16" ht="13.8" customHeight="1" s="28">
      <c r="R16" s="2" t="n"/>
      <c r="S16" s="2" t="n"/>
    </row>
    <row r="17" ht="12.6" customHeight="1" s="28">
      <c r="A17" s="39" t="inlineStr">
        <is>
          <t>Nuestra Vida Cristiana</t>
        </is>
      </c>
    </row>
    <row r="18" ht="12.6" customHeight="1" s="28">
      <c r="A18" s="37" t="n">
        <v>0.8236111111111111</v>
      </c>
      <c r="C18" s="11">
        <f>+"■"</f>
        <v/>
      </c>
      <c r="D18" s="38">
        <f>+I18</f>
        <v/>
      </c>
      <c r="H18" s="29" t="n"/>
      <c r="I18" t="inlineStr">
        <is>
          <t>Canción 90: Animémonos unos a otros</t>
        </is>
      </c>
    </row>
    <row r="19" ht="16.8" customHeight="1" s="28">
      <c r="A19" s="37" t="n">
        <v>0.8277777777777777</v>
      </c>
      <c r="C19" s="30" t="inlineStr">
        <is>
          <t>7.</t>
        </is>
      </c>
      <c r="D19" s="34">
        <f>RIGHT(I19,LEN(I19)-SEARCH(". ",I19)-1)&amp;" ("&amp;J19&amp;")"</f>
        <v/>
      </c>
      <c r="H19" s="2">
        <f>+K19</f>
        <v/>
      </c>
      <c r="I19" s="38" t="inlineStr">
        <is>
          <t>7. “¿Quién me tocó?” — Análisis con el auditorio.</t>
        </is>
      </c>
      <c r="J19" s="38" t="inlineStr">
        <is>
          <t>15 mins.</t>
        </is>
      </c>
      <c r="K19" t="inlineStr">
        <is>
          <t>Jeremy Ortega</t>
        </is>
      </c>
      <c r="Q19" s="13" t="n"/>
      <c r="R19" s="19" t="n"/>
    </row>
    <row r="20" ht="15" customHeight="1" s="28">
      <c r="A20" s="37" t="n">
        <v>0.8368055555555556</v>
      </c>
      <c r="C20" s="30" t="inlineStr">
        <is>
          <t>8.</t>
        </is>
      </c>
      <c r="D20" s="34" t="inlineStr">
        <is>
          <t>Estudio bíblico de la congregación (30 mins.)</t>
        </is>
      </c>
      <c r="G20" s="40" t="inlineStr">
        <is>
          <t>Conductor/Lector:</t>
        </is>
      </c>
      <c r="H20" s="2">
        <f>+K20</f>
        <v/>
      </c>
      <c r="I20" s="38" t="n"/>
      <c r="J20" s="38" t="n"/>
      <c r="K20" t="inlineStr">
        <is>
          <t>Rolando Moreano</t>
        </is>
      </c>
      <c r="Q20" s="19" t="n"/>
      <c r="R20" s="19" t="n"/>
    </row>
    <row r="21" ht="12.6" customHeight="1" s="28">
      <c r="H21" s="2">
        <f>+K21</f>
        <v/>
      </c>
      <c r="I21" s="38" t="n"/>
      <c r="J21" s="38" t="n"/>
      <c r="K21" t="inlineStr">
        <is>
          <t>Paúl Fernandez</t>
        </is>
      </c>
      <c r="Q21" s="18" t="n"/>
    </row>
    <row r="22" ht="12.6" customHeight="1" s="28">
      <c r="A22" s="37" t="n">
        <v>0.8576388888888888</v>
      </c>
      <c r="B22" s="37" t="n"/>
      <c r="C22" s="11">
        <f>+"■"</f>
        <v/>
      </c>
      <c r="D22" s="8" t="inlineStr">
        <is>
          <t>Palabras de conclusión</t>
        </is>
      </c>
      <c r="E22" s="8" t="n"/>
      <c r="H22" s="2" t="n"/>
      <c r="I22" s="38" t="n"/>
      <c r="J22" s="38" t="n"/>
      <c r="Q22" s="16" t="n"/>
    </row>
    <row r="23" ht="12.6" customHeight="1" s="28">
      <c r="A23" s="37" t="n">
        <v>0.8597222222222223</v>
      </c>
      <c r="B23" s="37" t="n"/>
      <c r="C23" s="11">
        <f>+"■"</f>
        <v/>
      </c>
      <c r="D23" s="36">
        <f>+I23</f>
        <v/>
      </c>
      <c r="E23" s="8" t="n"/>
      <c r="G23" s="35" t="inlineStr">
        <is>
          <t>Oración:</t>
        </is>
      </c>
      <c r="H23" s="2">
        <f>+K23</f>
        <v/>
      </c>
      <c r="I23" s="38" t="inlineStr">
        <is>
          <t>Canción 56: Vive la verdad</t>
        </is>
      </c>
      <c r="J23" s="38" t="n"/>
      <c r="K23" t="inlineStr">
        <is>
          <t>Freddy Velazco</t>
        </is>
      </c>
      <c r="Q23" s="13" t="n"/>
    </row>
    <row r="24" ht="19.2" customHeight="1" s="28"/>
    <row r="25" ht="15" customHeight="1" s="28">
      <c r="A25" s="37" t="n"/>
      <c r="C25" s="30" t="n"/>
      <c r="D25" s="34" t="n"/>
      <c r="F25" s="29" t="n"/>
      <c r="G25" s="40" t="n"/>
      <c r="H25" s="2" t="n"/>
      <c r="I25" s="38" t="n"/>
      <c r="J25" s="38" t="n"/>
      <c r="Q25" s="16" t="n"/>
      <c r="R25" s="19" t="n"/>
    </row>
    <row r="26" ht="15" customHeight="1" s="28">
      <c r="H26" s="2" t="n"/>
      <c r="I26" s="38" t="n"/>
      <c r="J26" s="38" t="n"/>
      <c r="R26" s="19" t="n"/>
    </row>
    <row r="27">
      <c r="A27" s="37" t="n"/>
      <c r="B27" s="37" t="n"/>
      <c r="C27" s="11" t="n"/>
      <c r="D27" s="8" t="n"/>
      <c r="E27" s="8" t="n"/>
      <c r="H27" s="2" t="n"/>
      <c r="I27" s="38" t="n"/>
      <c r="J27" s="38" t="n"/>
    </row>
    <row r="28">
      <c r="A28" s="37" t="n"/>
      <c r="B28" s="37" t="n"/>
      <c r="C28" s="11" t="n"/>
      <c r="D28" s="36" t="n"/>
      <c r="G28" s="35" t="n"/>
      <c r="H28" s="2" t="n"/>
      <c r="I28" s="38" t="n"/>
      <c r="J28" s="38" t="n"/>
      <c r="Q28" s="15" t="n"/>
    </row>
    <row r="29" ht="12" customHeight="1" s="28"/>
    <row r="30">
      <c r="A30" s="3" t="n"/>
    </row>
    <row r="31">
      <c r="U31" s="17" t="n"/>
    </row>
    <row r="35">
      <c r="E35" s="17" t="n"/>
    </row>
  </sheetData>
  <mergeCells count="41">
    <mergeCell ref="F15:F16"/>
    <mergeCell ref="F25:F26"/>
    <mergeCell ref="C20:C21"/>
    <mergeCell ref="D1:H1"/>
    <mergeCell ref="G13:G14"/>
    <mergeCell ref="D15:E16"/>
    <mergeCell ref="H11:H12"/>
    <mergeCell ref="F3:G3"/>
    <mergeCell ref="D25:E26"/>
    <mergeCell ref="D28:F28"/>
    <mergeCell ref="A25:A26"/>
    <mergeCell ref="C25:C26"/>
    <mergeCell ref="D4:F4"/>
    <mergeCell ref="D20:E21"/>
    <mergeCell ref="A17:F17"/>
    <mergeCell ref="D19:G19"/>
    <mergeCell ref="C11:C12"/>
    <mergeCell ref="G15:G16"/>
    <mergeCell ref="G20:G21"/>
    <mergeCell ref="F13:F14"/>
    <mergeCell ref="A10:F10"/>
    <mergeCell ref="H13:H14"/>
    <mergeCell ref="D5:F5"/>
    <mergeCell ref="A13:A14"/>
    <mergeCell ref="E2:F2"/>
    <mergeCell ref="A20:A21"/>
    <mergeCell ref="D18:E18"/>
    <mergeCell ref="G25:G26"/>
    <mergeCell ref="H15:H16"/>
    <mergeCell ref="D9:E9"/>
    <mergeCell ref="F11:F12"/>
    <mergeCell ref="C13:C14"/>
    <mergeCell ref="D8:E8"/>
    <mergeCell ref="D11:E12"/>
    <mergeCell ref="A15:A16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2026-08-31T04:57:47Z</dcterms:modified>
  <cp:lastModifiedBy>Israel Rocha</cp:lastModifiedBy>
  <cp:lastPrinted>2025-06-19T18:51:49Z</cp:lastPrinted>
</cp:coreProperties>
</file>