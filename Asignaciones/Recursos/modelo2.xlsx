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srae\Documents\Asignaciones\"/>
    </mc:Choice>
  </mc:AlternateContent>
  <xr:revisionPtr revIDLastSave="0" documentId="13_ncr:1_{95EC5BE6-E090-489D-AAED-794D153F05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" sheetId="1" r:id="rId1"/>
    <sheet name="Participantes" sheetId="2" r:id="rId2"/>
  </sheets>
  <definedNames>
    <definedName name="_Hlk52262180" localSheetId="0">plantilla!#REF!</definedName>
    <definedName name="_xlnm.Print_Area" localSheetId="0">plantilla!$A$1:$H$31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0" i="1"/>
  <c r="H21" i="1"/>
  <c r="H22" i="1"/>
  <c r="H19" i="1"/>
  <c r="G15" i="1"/>
  <c r="H13" i="1"/>
  <c r="G13" i="1"/>
  <c r="H11" i="1"/>
  <c r="G11" i="1"/>
  <c r="H15" i="1"/>
  <c r="G9" i="1"/>
  <c r="H9" i="1"/>
  <c r="H8" i="1"/>
  <c r="H7" i="1"/>
  <c r="H4" i="1"/>
  <c r="H3" i="1"/>
  <c r="H2" i="1"/>
  <c r="D24" i="1"/>
  <c r="C24" i="1"/>
  <c r="C23" i="1"/>
  <c r="D20" i="1"/>
  <c r="A20" i="1"/>
  <c r="D19" i="1"/>
  <c r="A19" i="1"/>
  <c r="D18" i="1"/>
  <c r="C18" i="1"/>
  <c r="D15" i="1"/>
  <c r="C15" i="1"/>
  <c r="D13" i="1"/>
  <c r="C13" i="1"/>
  <c r="A13" i="1"/>
  <c r="A15" i="1" s="1"/>
  <c r="D11" i="1"/>
  <c r="C11" i="1"/>
  <c r="A11" i="1"/>
  <c r="C9" i="1"/>
  <c r="C8" i="1"/>
  <c r="D7" i="1"/>
  <c r="C7" i="1"/>
  <c r="C5" i="1"/>
  <c r="D4" i="1"/>
  <c r="C4" i="1"/>
  <c r="E2" i="1"/>
  <c r="A2" i="1"/>
</calcChain>
</file>

<file path=xl/sharedStrings.xml><?xml version="1.0" encoding="utf-8"?>
<sst xmlns="http://schemas.openxmlformats.org/spreadsheetml/2006/main" count="438" uniqueCount="352">
  <si>
    <t>La Gatazo</t>
  </si>
  <si>
    <t>Programa para la reunión de entre semana</t>
  </si>
  <si>
    <t>Presidente</t>
  </si>
  <si>
    <t>Consejero de la Sala Auxiliar</t>
  </si>
  <si>
    <t>Oración</t>
  </si>
  <si>
    <t>Palabras de Introducción (1 min.)</t>
  </si>
  <si>
    <t>Tesoros de la Biblia</t>
  </si>
  <si>
    <t>Sala Auxiliar</t>
  </si>
  <si>
    <t>Auditorio Principal</t>
  </si>
  <si>
    <t>Busquemos perlas escondidas (10 mins.)</t>
  </si>
  <si>
    <t>Lectura de la Biblia (4 mins.)</t>
  </si>
  <si>
    <t>Estudiante:</t>
  </si>
  <si>
    <t>Seamos Mejores Maestros</t>
  </si>
  <si>
    <t>Estudiante/Ayudante:</t>
  </si>
  <si>
    <t>Nuestra Vida Cristiana</t>
  </si>
  <si>
    <t>7.</t>
  </si>
  <si>
    <t>8.</t>
  </si>
  <si>
    <t>9.</t>
  </si>
  <si>
    <t>Estudio bíblico de la congregación (30 mins.)</t>
  </si>
  <si>
    <t>Conductor/Lector:</t>
  </si>
  <si>
    <t>Palabras de conclusión</t>
  </si>
  <si>
    <t>Oración:</t>
  </si>
  <si>
    <t>Aguayo, Gabriela</t>
  </si>
  <si>
    <t>Gabriela Aguayo</t>
  </si>
  <si>
    <t>Aida de Chamorro</t>
  </si>
  <si>
    <t>Teresa de Alarcón</t>
  </si>
  <si>
    <t>Teresa de Alarcon</t>
  </si>
  <si>
    <t>Alarcón, Wilson E.</t>
  </si>
  <si>
    <t>Wilson Alarcón</t>
  </si>
  <si>
    <t>Allas, Kathy de</t>
  </si>
  <si>
    <t>Kathy  de Allas</t>
  </si>
  <si>
    <t>Allas, Rolando</t>
  </si>
  <si>
    <t>Rolando Allas</t>
  </si>
  <si>
    <t>Alvarez, Sara L. de</t>
  </si>
  <si>
    <t>Sara de Alvarez</t>
  </si>
  <si>
    <t>Pedro Apolinario</t>
  </si>
  <si>
    <t>Arellano, Lidia L.</t>
  </si>
  <si>
    <t>Lidia Arellano</t>
  </si>
  <si>
    <t>Carlos Arias</t>
  </si>
  <si>
    <t>Norma de Arias</t>
  </si>
  <si>
    <t>Armijos, Silvia M.</t>
  </si>
  <si>
    <t>Silvia Armijos</t>
  </si>
  <si>
    <t>Francia de Brito</t>
  </si>
  <si>
    <t>Jhon Jairo Cabrera</t>
  </si>
  <si>
    <t>Jhon Jairo  Cabrera</t>
  </si>
  <si>
    <t>Cadena, Jennifer</t>
  </si>
  <si>
    <t>Jennifer Cadena</t>
  </si>
  <si>
    <t>Caizaguano, Fanny T.</t>
  </si>
  <si>
    <t>Fanny Caizaguano</t>
  </si>
  <si>
    <t>Cajas, Fernanda</t>
  </si>
  <si>
    <t>Fernanda Cajas</t>
  </si>
  <si>
    <t>Cajas, Fernando</t>
  </si>
  <si>
    <t>Fernando Cajas</t>
  </si>
  <si>
    <t>Alex Calvache</t>
  </si>
  <si>
    <t>Lourdes de Calvache</t>
  </si>
  <si>
    <t>Campaña Silva, Ceneida M.</t>
  </si>
  <si>
    <t>Ceneida de Campaña</t>
  </si>
  <si>
    <t>Olga de Campaña</t>
  </si>
  <si>
    <t>Luis Campaña</t>
  </si>
  <si>
    <t>Cardenas Cunalata, Ana de</t>
  </si>
  <si>
    <t>Ana Cardenas</t>
  </si>
  <si>
    <t>José Carrera</t>
  </si>
  <si>
    <t>Carrera Quilachamin, Sebastian D.</t>
  </si>
  <si>
    <t>Sebastian Carrera</t>
  </si>
  <si>
    <t>Caty de Carrera</t>
  </si>
  <si>
    <t>Catalina de Carrera</t>
  </si>
  <si>
    <t>Carvajal Echeverria, Jimmy U.</t>
  </si>
  <si>
    <t>Jimmy Carvajal</t>
  </si>
  <si>
    <t>Cedeño, Geovanna</t>
  </si>
  <si>
    <t>Geovanna Cedeño</t>
  </si>
  <si>
    <t>Cela Torres, Verónica E. de</t>
  </si>
  <si>
    <t>Verónica de Cela</t>
  </si>
  <si>
    <t>Cela, Lorena S.</t>
  </si>
  <si>
    <t>Lorena Cela</t>
  </si>
  <si>
    <t>Daniel Cevallos</t>
  </si>
  <si>
    <t>Silvia Cifuentes</t>
  </si>
  <si>
    <t>Edixon Colina</t>
  </si>
  <si>
    <t>Pilar de Colina</t>
  </si>
  <si>
    <t>Benjamín Cóndor</t>
  </si>
  <si>
    <t>Benjamin Condor</t>
  </si>
  <si>
    <t>Vinicio Cóndor</t>
  </si>
  <si>
    <t>Vinicio Condor</t>
  </si>
  <si>
    <t>Condor, Blanca H. de</t>
  </si>
  <si>
    <t>Blanca de Condor</t>
  </si>
  <si>
    <t>Cóndor, Tatiana J. de</t>
  </si>
  <si>
    <t>Tatiana de Cóndor</t>
  </si>
  <si>
    <t>Carlos Correa</t>
  </si>
  <si>
    <t>David Quiñonez</t>
  </si>
  <si>
    <t>Dávila Jiménez, Ángela A.</t>
  </si>
  <si>
    <t>Ángela Dávila</t>
  </si>
  <si>
    <t>Hugo Díaz</t>
  </si>
  <si>
    <t>Hugo Diaz</t>
  </si>
  <si>
    <t>Diaz, Narcisa D. C. de</t>
  </si>
  <si>
    <t>Narcisa de Diaz</t>
  </si>
  <si>
    <t>Edwin Encalada</t>
  </si>
  <si>
    <t>Rebeca de Encalada</t>
  </si>
  <si>
    <t>Daysi Espinoza</t>
  </si>
  <si>
    <t>Paúl Fernandez</t>
  </si>
  <si>
    <t>Paul Fernandez</t>
  </si>
  <si>
    <t>Fernandez, Cristina E. de</t>
  </si>
  <si>
    <t>Cristina de Fernandez</t>
  </si>
  <si>
    <t>Flores de, Alexandra G.</t>
  </si>
  <si>
    <t>Alexandra de Flores</t>
  </si>
  <si>
    <t>Flores Flores, Cristian J.</t>
  </si>
  <si>
    <t>Cristian Flores</t>
  </si>
  <si>
    <t>Flores Rodriguez, William A.</t>
  </si>
  <si>
    <t>William Flores</t>
  </si>
  <si>
    <t>Freire, Mery</t>
  </si>
  <si>
    <t>Mery Freire</t>
  </si>
  <si>
    <t>Fuentes, Gissele A. de</t>
  </si>
  <si>
    <t>Gissele de Fuentes</t>
  </si>
  <si>
    <t>García Palacio, Elizabeth</t>
  </si>
  <si>
    <t>Elizabeth Garcia</t>
  </si>
  <si>
    <t>Mery Garcia</t>
  </si>
  <si>
    <t>Mery García</t>
  </si>
  <si>
    <t>Garcia, Noralma de</t>
  </si>
  <si>
    <t>Noralma de Garcia</t>
  </si>
  <si>
    <t>Gomez, Jussen de J.</t>
  </si>
  <si>
    <t>Jussen Gomez</t>
  </si>
  <si>
    <t>María Gomez</t>
  </si>
  <si>
    <t>Guama, Yolanda</t>
  </si>
  <si>
    <t>Yolanda Guama</t>
  </si>
  <si>
    <t>Guamán Espinoza, Manuel</t>
  </si>
  <si>
    <t>Manuel Espinoza</t>
  </si>
  <si>
    <t>Blanca de Guamán</t>
  </si>
  <si>
    <t>Blanca Guaman</t>
  </si>
  <si>
    <t>Guamán, Nancy F. de</t>
  </si>
  <si>
    <t>Nancy de Guamán</t>
  </si>
  <si>
    <t>Guerrero, Fanny de</t>
  </si>
  <si>
    <t>Fanny de Guerrero</t>
  </si>
  <si>
    <t>Guevara, Carmen D.</t>
  </si>
  <si>
    <t>Carmen Guevara</t>
  </si>
  <si>
    <t>Guilcazo Albán, Katherine D.</t>
  </si>
  <si>
    <t>Katherine Guilcazo</t>
  </si>
  <si>
    <t>Luis Guilcazo</t>
  </si>
  <si>
    <t>Guilcazo, Fanny I. de</t>
  </si>
  <si>
    <t>Fanny de Guilcazo</t>
  </si>
  <si>
    <t>Hernandez, Doris</t>
  </si>
  <si>
    <t>Doris Hernandez</t>
  </si>
  <si>
    <t>Ismael Moreano</t>
  </si>
  <si>
    <t>Jácome, Violeta N. de</t>
  </si>
  <si>
    <t>Violeta de Jácome</t>
  </si>
  <si>
    <t>Jato, Miryan D. C. de</t>
  </si>
  <si>
    <t>Miryan Jato</t>
  </si>
  <si>
    <t>Jimenez Aguirre, Daniela</t>
  </si>
  <si>
    <t>Daniela Jimenez</t>
  </si>
  <si>
    <t>Luis Jiménez</t>
  </si>
  <si>
    <t>Luis Jimenez</t>
  </si>
  <si>
    <t>Jimenez Aguirre, Luis A.</t>
  </si>
  <si>
    <t>Jimenez, Tránsito V. de</t>
  </si>
  <si>
    <t>Victoria de Jimenez</t>
  </si>
  <si>
    <t>Paola de Lagla</t>
  </si>
  <si>
    <t>Lagla, Gabriel O.</t>
  </si>
  <si>
    <t>Gabriel Lagla</t>
  </si>
  <si>
    <t>Cecilia Larco</t>
  </si>
  <si>
    <t>León, Martha B.</t>
  </si>
  <si>
    <t>Martha León</t>
  </si>
  <si>
    <t>Llumipanta, Aaron</t>
  </si>
  <si>
    <t>Aaron Llumipanta</t>
  </si>
  <si>
    <t>Llumipnata, Amparito de</t>
  </si>
  <si>
    <t>Amparito de Llumipnata</t>
  </si>
  <si>
    <t>Lopez, Amparito de</t>
  </si>
  <si>
    <t>Amparito deLopez</t>
  </si>
  <si>
    <t>Kenneth López</t>
  </si>
  <si>
    <t>Lopez, Pablo D.</t>
  </si>
  <si>
    <t>Pablo Lopez</t>
  </si>
  <si>
    <t>Lucy castillo</t>
  </si>
  <si>
    <t>Lucy Castillo</t>
  </si>
  <si>
    <t>Lugmaña, Ana M. de</t>
  </si>
  <si>
    <t>Ana de Lugmaña</t>
  </si>
  <si>
    <t>Luis Chamorro</t>
  </si>
  <si>
    <t>Luna, Scarleth</t>
  </si>
  <si>
    <t>Scarleth Luna</t>
  </si>
  <si>
    <t>Macias, Matilde L.</t>
  </si>
  <si>
    <t>Matilde Macias</t>
  </si>
  <si>
    <t>Maldonado, Lourdes de</t>
  </si>
  <si>
    <t>Lourdes de Maldonado</t>
  </si>
  <si>
    <t>Jessica Guilcazo</t>
  </si>
  <si>
    <t>Bryan Mendoza</t>
  </si>
  <si>
    <t>Mendoza, Genesis N.</t>
  </si>
  <si>
    <t>Genesis Mendoza</t>
  </si>
  <si>
    <t>Mendoza, Verónica G. de</t>
  </si>
  <si>
    <t>Verónica de Mendoza</t>
  </si>
  <si>
    <t>Mera Pinto, Byron A.</t>
  </si>
  <si>
    <t>Byron Mera</t>
  </si>
  <si>
    <t>Lorena Mera</t>
  </si>
  <si>
    <t>Mera, Carmen L. de</t>
  </si>
  <si>
    <t>Carmita de Mera</t>
  </si>
  <si>
    <t>Jaime Mera</t>
  </si>
  <si>
    <t>Mera, Mauricio</t>
  </si>
  <si>
    <t>Mauricio Mera</t>
  </si>
  <si>
    <t>Mishell Perez</t>
  </si>
  <si>
    <t>Molina Medina, Marlene Yolanda</t>
  </si>
  <si>
    <t>Marlene Molina</t>
  </si>
  <si>
    <t>Belén de Morales</t>
  </si>
  <si>
    <t>Belen de Morales</t>
  </si>
  <si>
    <t>Morales, Hilda G.</t>
  </si>
  <si>
    <t>Hilda Morales</t>
  </si>
  <si>
    <t>Pablo Morales</t>
  </si>
  <si>
    <t>Abigail de Nieto</t>
  </si>
  <si>
    <t>Keily Moreano</t>
  </si>
  <si>
    <t>Lucila de Moreano</t>
  </si>
  <si>
    <t>Moreano, Renata F. de</t>
  </si>
  <si>
    <t>Renata de Moreano</t>
  </si>
  <si>
    <t>Rolando Moreano</t>
  </si>
  <si>
    <t>Marcelo Moreano</t>
  </si>
  <si>
    <t>Verónica de Moreano</t>
  </si>
  <si>
    <t>Naranjo Zuñiga, Cumandá</t>
  </si>
  <si>
    <t>Cumandá Naranjo</t>
  </si>
  <si>
    <t>Oñate, Gladys de</t>
  </si>
  <si>
    <t>Gladys de Oñate</t>
  </si>
  <si>
    <t>Oñate, Mesias</t>
  </si>
  <si>
    <t>Mesias Oñate</t>
  </si>
  <si>
    <t>Orozco, Yambay C. de</t>
  </si>
  <si>
    <t>Yambay de Orozco</t>
  </si>
  <si>
    <t>Orquera Flores, María C.</t>
  </si>
  <si>
    <t>Maria Orquera</t>
  </si>
  <si>
    <t>Ezequiel Ortega</t>
  </si>
  <si>
    <t>Padilla Flores, Cecilia X.</t>
  </si>
  <si>
    <t>Cecilia Padilla</t>
  </si>
  <si>
    <t>Padilla Flores, Dolores D. C.</t>
  </si>
  <si>
    <t>Dolores Padilla</t>
  </si>
  <si>
    <t>Padilla Flores, Lorena G.</t>
  </si>
  <si>
    <t>Lorena Padilla</t>
  </si>
  <si>
    <t>Carlos Pastás</t>
  </si>
  <si>
    <t>Abel Peralta</t>
  </si>
  <si>
    <t>Perez de, Paulina</t>
  </si>
  <si>
    <t>Paulina de Perez</t>
  </si>
  <si>
    <t>Paola Perez</t>
  </si>
  <si>
    <t>Perez, Ariel F.</t>
  </si>
  <si>
    <t>Ariel Perez</t>
  </si>
  <si>
    <t>Perez, Fanny D.</t>
  </si>
  <si>
    <t>Fanny de Perez</t>
  </si>
  <si>
    <t>Freddy Pérez</t>
  </si>
  <si>
    <t>Freddy Perez</t>
  </si>
  <si>
    <t>Perez, Paola M. de</t>
  </si>
  <si>
    <t>Paola de Perez</t>
  </si>
  <si>
    <t>Quilachamin, Martha de</t>
  </si>
  <si>
    <t>Martha de Quilachamin</t>
  </si>
  <si>
    <t>Quilachamin, Patricio</t>
  </si>
  <si>
    <t>Patricio Quilachamin</t>
  </si>
  <si>
    <t>Gabriela de Quiñonez</t>
  </si>
  <si>
    <t>Salomé de Quiñonez</t>
  </si>
  <si>
    <t>Salome de Quiñonez</t>
  </si>
  <si>
    <t>Quiñonez, Viviana N.</t>
  </si>
  <si>
    <t>Nataly Quiñonez</t>
  </si>
  <si>
    <t>Ramirez, Elvira</t>
  </si>
  <si>
    <t>Elvira Ramirez</t>
  </si>
  <si>
    <t>Rengifo, Gemima</t>
  </si>
  <si>
    <t>Gemima Rengifo</t>
  </si>
  <si>
    <t>Angélica Rocha</t>
  </si>
  <si>
    <t>Kevin Rocha</t>
  </si>
  <si>
    <t>Israel Rocha</t>
  </si>
  <si>
    <t>Marlene de Rocha</t>
  </si>
  <si>
    <t>Victor Rocha</t>
  </si>
  <si>
    <t>Norma de Rodriguez</t>
  </si>
  <si>
    <t>Rodriguez, Martha A.</t>
  </si>
  <si>
    <t>Abigail Rodriguez</t>
  </si>
  <si>
    <t>Wilson Rodriguez</t>
  </si>
  <si>
    <t>Salazar Romero, Martha</t>
  </si>
  <si>
    <t>Martha Salazar</t>
  </si>
  <si>
    <t>Nelly de Santillán</t>
  </si>
  <si>
    <t>Nelly Santillán</t>
  </si>
  <si>
    <t>Segura, Cecilia A. de</t>
  </si>
  <si>
    <t>Cecilia de Segura</t>
  </si>
  <si>
    <t>Segura, Danilo O.</t>
  </si>
  <si>
    <t>Danilo Segura</t>
  </si>
  <si>
    <t>Silva, Joel E.</t>
  </si>
  <si>
    <t>Joel Silva</t>
  </si>
  <si>
    <t>Luis Silva</t>
  </si>
  <si>
    <t>Silva, Rosa I. de</t>
  </si>
  <si>
    <t>Rosa de Silva</t>
  </si>
  <si>
    <t>Teneda, Mariana de J.</t>
  </si>
  <si>
    <t>Mariana Teneda</t>
  </si>
  <si>
    <t>Adrián Tipantuña</t>
  </si>
  <si>
    <t>Ruth Tipantuña</t>
  </si>
  <si>
    <t>Tipantuña, Luz M. de</t>
  </si>
  <si>
    <t>Luz de Tipantuña</t>
  </si>
  <si>
    <t>Santiago Tipantuña</t>
  </si>
  <si>
    <t>Toapanta, Inés M.</t>
  </si>
  <si>
    <t>Inés Toapanta</t>
  </si>
  <si>
    <t>Torrealba, Dorianni</t>
  </si>
  <si>
    <t>Dorianni Torrealba</t>
  </si>
  <si>
    <t>Tualombo, Carmelina</t>
  </si>
  <si>
    <t>Carmelina Tualombo</t>
  </si>
  <si>
    <t>Norma de Valencia</t>
  </si>
  <si>
    <t>Daniel Valencia</t>
  </si>
  <si>
    <t>Jonathan Vargas</t>
  </si>
  <si>
    <t>Vargas, Josué A.</t>
  </si>
  <si>
    <t>Josué Vargas</t>
  </si>
  <si>
    <t>Vargas, Monica P. de</t>
  </si>
  <si>
    <t>Monica de Vargas</t>
  </si>
  <si>
    <t>Vargas, Pablo A.</t>
  </si>
  <si>
    <t>Pablo Vargas</t>
  </si>
  <si>
    <t>Vargas, Priscila Y. de</t>
  </si>
  <si>
    <t>Priscila de Vargas</t>
  </si>
  <si>
    <t>Vinicio Vela</t>
  </si>
  <si>
    <t>Vela, María A. de</t>
  </si>
  <si>
    <t>María de Vela</t>
  </si>
  <si>
    <t>Vela, Tamara J.</t>
  </si>
  <si>
    <t>Tamara Vela</t>
  </si>
  <si>
    <t>Freddy Velazco</t>
  </si>
  <si>
    <t>Xavier Velazco</t>
  </si>
  <si>
    <t>Veliz, Fernanda A.</t>
  </si>
  <si>
    <t>Fernanda Veliz</t>
  </si>
  <si>
    <t>Caleb villareal</t>
  </si>
  <si>
    <t>Caleb Villareal</t>
  </si>
  <si>
    <t>David Villareal</t>
  </si>
  <si>
    <t>Villareal, Sharon E. de</t>
  </si>
  <si>
    <t>Sharon de Villareal</t>
  </si>
  <si>
    <t>Manuel Vizcaino</t>
  </si>
  <si>
    <t>Vizcaíno, Martha C. de</t>
  </si>
  <si>
    <t>Martha de Vizcaíno</t>
  </si>
  <si>
    <t>Guamán, Luis</t>
  </si>
  <si>
    <t>Luis Guaman</t>
  </si>
  <si>
    <t>Zapata, Paula D.</t>
  </si>
  <si>
    <t>Paula Zapata</t>
  </si>
  <si>
    <t>Zuñiga, Gloria C.</t>
  </si>
  <si>
    <t>Gloria Zuñiga</t>
  </si>
  <si>
    <t>Zuñiga, Rosa C.</t>
  </si>
  <si>
    <t>Rosa Zuñiga</t>
  </si>
  <si>
    <t>Kesia de Muñoz</t>
  </si>
  <si>
    <t>Alexa Calvache</t>
  </si>
  <si>
    <t>Valentina Carrera</t>
  </si>
  <si>
    <t>Peralta, Mateo</t>
  </si>
  <si>
    <t>Mateo Peralta</t>
  </si>
  <si>
    <t>Cardenas, Josué</t>
  </si>
  <si>
    <t>Cardenas Josue</t>
  </si>
  <si>
    <t>Carolina Arteaga</t>
  </si>
  <si>
    <t>Isabel de Basantes</t>
  </si>
  <si>
    <t>Darwin Guillén</t>
  </si>
  <si>
    <t>Darwin Guillen</t>
  </si>
  <si>
    <t>Bolaños, Jorge</t>
  </si>
  <si>
    <t>Jorge Bolaños</t>
  </si>
  <si>
    <t>Estefania de Aimara</t>
  </si>
  <si>
    <t>Maricela Montes</t>
  </si>
  <si>
    <t>Carmen Yambay</t>
  </si>
  <si>
    <t>Pazmiño, Maritza</t>
  </si>
  <si>
    <t>Maritza Pazmiño</t>
  </si>
  <si>
    <t>Ana Morelo</t>
  </si>
  <si>
    <t>Antonio Zambrano</t>
  </si>
  <si>
    <t>Anabella Zambrano</t>
  </si>
  <si>
    <t>Ezequiel Zambrano</t>
  </si>
  <si>
    <t>Valeria de Chicaiza</t>
  </si>
  <si>
    <t>Yolanda Mora</t>
  </si>
  <si>
    <t>Andres Mirama</t>
  </si>
  <si>
    <t>Gino Orellana</t>
  </si>
  <si>
    <t>Michael Cadena</t>
  </si>
  <si>
    <t>María Isabel Salazar</t>
  </si>
  <si>
    <t>Victoria Amagua</t>
  </si>
  <si>
    <t>Karen Silva</t>
  </si>
  <si>
    <t>Jonatan Nieto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</si>
</sst>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6.5"/>
      <color theme="1"/>
      <name val="Cambria"/>
      <family val="1"/>
    </font>
    <font>
      <b/>
      <sz val="9"/>
      <color rgb="FF575A5D"/>
      <name val="Calibri"/>
      <family val="2"/>
    </font>
    <font>
      <b/>
      <sz val="8"/>
      <color rgb="FF575A5D"/>
      <name val="Calibri"/>
      <family val="2"/>
    </font>
    <font>
      <b/>
      <sz val="9"/>
      <name val="Calibri"/>
      <family val="2"/>
    </font>
    <font>
      <b/>
      <sz val="9"/>
      <color rgb="FF7E0024"/>
      <name val="Calibri"/>
      <family val="2"/>
    </font>
    <font>
      <sz val="10"/>
      <color rgb="FF373433"/>
      <name val="Segoe UI Semilight"/>
      <family val="2"/>
    </font>
    <font>
      <sz val="10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u/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75A5D"/>
        <bgColor indexed="64"/>
      </patternFill>
    </fill>
    <fill>
      <patternFill patternType="solid">
        <fgColor rgb="FFBE8900"/>
        <bgColor indexed="64"/>
      </patternFill>
    </fill>
    <fill>
      <patternFill patternType="solid">
        <fgColor rgb="FF7E002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</borders>
  <cellStyleXfs count="2">
    <xf numFmtId="0" fontId="0" fillId="0" borderId="0"/>
    <xf numFmtId="0" fontId="14" fillId="0" borderId="0">
      <alignment vertical="center"/>
    </xf>
  </cellStyleXfs>
  <cellXfs count="47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6" fillId="0" borderId="1" xfId="0" applyFont="1" applyBorder="1"/>
    <xf numFmtId="20" fontId="8" fillId="0" borderId="0" xfId="0" applyNumberFormat="1" applyFont="1" applyAlignment="1">
      <alignment horizontal="right" vertical="center"/>
    </xf>
    <xf numFmtId="20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horizontal="right" vertical="center" wrapText="1"/>
    </xf>
    <xf numFmtId="1" fontId="10" fillId="0" borderId="0" xfId="0" applyNumberFormat="1" applyFont="1" applyAlignment="1">
      <alignment horizontal="right" vertical="center"/>
    </xf>
    <xf numFmtId="20" fontId="11" fillId="0" borderId="0" xfId="0" applyNumberFormat="1" applyFont="1" applyAlignment="1">
      <alignment horizontal="right" vertical="center"/>
    </xf>
    <xf numFmtId="0" fontId="1" fillId="0" borderId="1" xfId="0" applyFont="1" applyBorder="1"/>
    <xf numFmtId="0" fontId="12" fillId="0" borderId="0" xfId="0" applyFont="1" applyAlignment="1">
      <alignment horizontal="right" vertical="center" wrapText="1"/>
    </xf>
    <xf numFmtId="0" fontId="0" fillId="0" borderId="0" xfId="0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left" vertical="center" wrapText="1" indent="1"/>
    </xf>
    <xf numFmtId="0" fontId="16" fillId="0" borderId="0" xfId="0" applyFont="1"/>
    <xf numFmtId="0" fontId="17" fillId="0" borderId="0" xfId="0" applyFont="1" applyAlignment="1">
      <alignment horizontal="left" vertical="center" wrapText="1" indent="1"/>
    </xf>
    <xf numFmtId="0" fontId="1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20" fontId="0" fillId="0" borderId="0" xfId="0" applyNumberFormat="1" applyAlignment="1">
      <alignment horizontal="left"/>
    </xf>
    <xf numFmtId="0" fontId="9" fillId="0" borderId="0" xfId="0" applyFont="1" applyAlignment="1">
      <alignment horizontal="center" vertical="center"/>
    </xf>
    <xf numFmtId="0" fontId="0" fillId="0" borderId="0" xfId="0"/>
    <xf numFmtId="0" fontId="7" fillId="0" borderId="1" xfId="0" applyFont="1" applyBorder="1" applyAlignment="1">
      <alignment horizontal="right" vertical="center"/>
    </xf>
    <xf numFmtId="0" fontId="0" fillId="0" borderId="1" xfId="0" applyBorder="1"/>
    <xf numFmtId="0" fontId="1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" fontId="10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20" fontId="8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0" borderId="2" xfId="0" applyBorder="1"/>
    <xf numFmtId="0" fontId="9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18" fillId="0" borderId="3" xfId="0" applyFont="1" applyBorder="1" applyAlignment="1">
      <alignment horizontal="center" vertical="center" wrapText="1"/>
    </xf>
    <xf numFmtId="0" fontId="0" fillId="0" borderId="3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topLeftCell="A3" zoomScaleNormal="100" workbookViewId="0">
      <selection activeCell="J22" sqref="J22"/>
    </sheetView>
  </sheetViews>
  <sheetFormatPr baseColWidth="10" defaultColWidth="10.77734375" defaultRowHeight="14.4" x14ac:dyDescent="0.3"/>
  <cols>
    <col min="1" max="1" width="5.33203125" customWidth="1"/>
    <col min="2" max="2" width="1.21875" customWidth="1"/>
    <col min="3" max="3" width="2.44140625" customWidth="1"/>
    <col min="5" max="5" width="28.88671875" customWidth="1"/>
    <col min="6" max="6" width="13.6640625" customWidth="1"/>
    <col min="7" max="8" width="18.44140625" customWidth="1"/>
    <col min="9" max="10" width="18.44140625" style="15" customWidth="1"/>
    <col min="11" max="13" width="10.77734375" style="15" customWidth="1"/>
    <col min="14" max="15" width="3.21875" style="15" customWidth="1"/>
    <col min="16" max="16" width="4.44140625" style="15" customWidth="1"/>
    <col min="17" max="17" width="16.21875" customWidth="1"/>
    <col min="18" max="18" width="19.109375" customWidth="1"/>
  </cols>
  <sheetData>
    <row r="1" spans="1:19" ht="21.6" customHeight="1" thickBot="1" x14ac:dyDescent="0.35">
      <c r="A1" s="13" t="s">
        <v>0</v>
      </c>
      <c r="B1" s="5"/>
      <c r="C1" s="5"/>
      <c r="D1" s="28" t="s">
        <v>1</v>
      </c>
      <c r="E1" s="29"/>
      <c r="F1" s="29"/>
      <c r="G1" s="29"/>
      <c r="H1" s="29"/>
    </row>
    <row r="2" spans="1:19" ht="12.6" customHeight="1" thickTop="1" x14ac:dyDescent="0.3">
      <c r="A2" s="45">
        <f>+I2</f>
        <v>0</v>
      </c>
      <c r="B2" s="41"/>
      <c r="C2" s="41"/>
      <c r="D2" s="46"/>
      <c r="E2" s="40">
        <f>+J2</f>
        <v>0</v>
      </c>
      <c r="F2" s="41"/>
      <c r="G2" s="10" t="s">
        <v>2</v>
      </c>
      <c r="H2" s="2">
        <f>+K2</f>
        <v>0</v>
      </c>
      <c r="I2" s="21"/>
      <c r="J2" s="21"/>
    </row>
    <row r="3" spans="1:19" ht="12.6" customHeight="1" x14ac:dyDescent="0.3">
      <c r="A3" s="1"/>
      <c r="B3" s="1"/>
      <c r="C3" s="1"/>
      <c r="F3" s="33" t="s">
        <v>3</v>
      </c>
      <c r="G3" s="27"/>
      <c r="H3" s="2">
        <f>+K3</f>
        <v>0</v>
      </c>
      <c r="I3" s="21"/>
      <c r="J3" s="21"/>
    </row>
    <row r="4" spans="1:19" ht="12.6" customHeight="1" x14ac:dyDescent="0.3">
      <c r="A4" s="7">
        <v>0.79166666666666663</v>
      </c>
      <c r="B4" s="7"/>
      <c r="C4" s="6" t="str">
        <f>+"■"</f>
        <v>■</v>
      </c>
      <c r="D4" s="36">
        <f>+I4</f>
        <v>0</v>
      </c>
      <c r="E4" s="27"/>
      <c r="F4" s="27"/>
      <c r="G4" s="10" t="s">
        <v>4</v>
      </c>
      <c r="H4" s="2">
        <f>+K4</f>
        <v>0</v>
      </c>
      <c r="I4" s="21"/>
      <c r="J4" s="21"/>
    </row>
    <row r="5" spans="1:19" ht="12.6" customHeight="1" x14ac:dyDescent="0.3">
      <c r="A5" s="7">
        <v>0.79513888888888884</v>
      </c>
      <c r="B5" s="7"/>
      <c r="C5" s="6" t="str">
        <f>+"■"</f>
        <v>■</v>
      </c>
      <c r="D5" s="36" t="s">
        <v>5</v>
      </c>
      <c r="E5" s="27"/>
      <c r="F5" s="27"/>
      <c r="H5" s="2"/>
      <c r="I5" s="21"/>
      <c r="J5" s="22"/>
      <c r="Q5" s="19"/>
    </row>
    <row r="6" spans="1:19" ht="12.6" customHeight="1" x14ac:dyDescent="0.3">
      <c r="A6" s="44" t="s">
        <v>6</v>
      </c>
      <c r="B6" s="27"/>
      <c r="C6" s="27"/>
      <c r="D6" s="27"/>
      <c r="E6" s="27"/>
      <c r="F6" s="27"/>
      <c r="G6" s="8" t="s">
        <v>7</v>
      </c>
      <c r="H6" s="8" t="s">
        <v>8</v>
      </c>
      <c r="I6" s="23"/>
      <c r="J6" s="23"/>
    </row>
    <row r="7" spans="1:19" ht="16.8" customHeight="1" x14ac:dyDescent="0.3">
      <c r="A7" s="7">
        <v>0.79583333333333328</v>
      </c>
      <c r="C7" s="11" t="str">
        <f>+"1."</f>
        <v>1.</v>
      </c>
      <c r="D7" s="43" t="e">
        <f>RIGHT(I7,LEN(I7)-SEARCH(". ",I7)-1)&amp;" ("&amp;J7&amp;")"</f>
        <v>#VALUE!</v>
      </c>
      <c r="E7" s="27"/>
      <c r="F7" s="27"/>
      <c r="G7" s="27"/>
      <c r="H7" s="2">
        <f>+K7</f>
        <v>0</v>
      </c>
      <c r="I7" s="21"/>
      <c r="J7" s="21"/>
    </row>
    <row r="8" spans="1:19" ht="16.8" customHeight="1" x14ac:dyDescent="0.3">
      <c r="A8" s="7">
        <v>0.80277777777777781</v>
      </c>
      <c r="C8" s="11" t="str">
        <f>+"2."</f>
        <v>2.</v>
      </c>
      <c r="D8" s="31" t="s">
        <v>9</v>
      </c>
      <c r="E8" s="27"/>
      <c r="H8" s="2">
        <f>+K8</f>
        <v>0</v>
      </c>
      <c r="I8" s="21"/>
      <c r="J8" s="21"/>
    </row>
    <row r="9" spans="1:19" ht="16.8" customHeight="1" x14ac:dyDescent="0.3">
      <c r="A9" s="7">
        <v>0.80972222222222223</v>
      </c>
      <c r="C9" s="11" t="str">
        <f>+"3."</f>
        <v>3.</v>
      </c>
      <c r="D9" s="31" t="s">
        <v>10</v>
      </c>
      <c r="E9" s="27"/>
      <c r="F9" s="10" t="s">
        <v>11</v>
      </c>
      <c r="G9" s="2">
        <f>+Q9</f>
        <v>0</v>
      </c>
      <c r="H9" s="2">
        <f>+K9</f>
        <v>0</v>
      </c>
      <c r="I9" s="21"/>
      <c r="J9" s="21"/>
      <c r="R9" s="2"/>
      <c r="S9" s="2"/>
    </row>
    <row r="10" spans="1:19" ht="12.6" customHeight="1" x14ac:dyDescent="0.3">
      <c r="A10" s="39" t="s">
        <v>12</v>
      </c>
      <c r="B10" s="27"/>
      <c r="C10" s="27"/>
      <c r="D10" s="27"/>
      <c r="E10" s="27"/>
      <c r="F10" s="27"/>
      <c r="G10" s="8" t="s">
        <v>7</v>
      </c>
      <c r="H10" s="8" t="s">
        <v>8</v>
      </c>
      <c r="I10" s="23"/>
      <c r="J10" s="23"/>
      <c r="Q10" s="17"/>
    </row>
    <row r="11" spans="1:19" ht="13.8" customHeight="1" x14ac:dyDescent="0.3">
      <c r="A11" s="35" t="e">
        <f>A9+TEXT(LEFT(M11, FIND(" ", M11)-1)/1440, "hh:mm")</f>
        <v>#VALUE!</v>
      </c>
      <c r="C11" s="32" t="str">
        <f>+"4."</f>
        <v>4.</v>
      </c>
      <c r="D11" s="31" t="e">
        <f>RIGHT(L11,LEN(L11)-SEARCH(". ",L11)-1)&amp;" ("&amp;M11&amp;")"</f>
        <v>#VALUE!</v>
      </c>
      <c r="E11" s="27"/>
      <c r="F11" s="26" t="s">
        <v>13</v>
      </c>
      <c r="G11" s="30" t="str">
        <f>Q11&amp;" / "&amp;Q12</f>
        <v xml:space="preserve"> / </v>
      </c>
      <c r="H11" s="30" t="str">
        <f>K11&amp;" / "&amp;K12</f>
        <v xml:space="preserve"> / </v>
      </c>
      <c r="I11" s="24"/>
      <c r="J11" s="21"/>
      <c r="M11" s="25"/>
      <c r="R11" s="2"/>
      <c r="S11" s="2"/>
    </row>
    <row r="12" spans="1:19" ht="13.8" customHeight="1" x14ac:dyDescent="0.3">
      <c r="A12" s="27"/>
      <c r="C12" s="27"/>
      <c r="D12" s="27"/>
      <c r="E12" s="27"/>
      <c r="F12" s="27"/>
      <c r="G12" s="27"/>
      <c r="H12" s="27"/>
      <c r="J12" s="25"/>
      <c r="M12" s="25"/>
      <c r="R12" s="2"/>
      <c r="S12" s="2"/>
    </row>
    <row r="13" spans="1:19" ht="13.8" customHeight="1" x14ac:dyDescent="0.3">
      <c r="A13" s="35" t="e">
        <f>A11+TEXT(LEFT(M13, FIND(" ", M13)-1)/1440, "hh:mm")</f>
        <v>#VALUE!</v>
      </c>
      <c r="C13" s="32" t="str">
        <f>+"5."</f>
        <v>5.</v>
      </c>
      <c r="D13" s="31" t="e">
        <f>RIGHT(L13,LEN(L13)-SEARCH(". ",L13)-1)&amp;" ("&amp;M13&amp;")"</f>
        <v>#VALUE!</v>
      </c>
      <c r="E13" s="27"/>
      <c r="F13" s="26" t="s">
        <v>13</v>
      </c>
      <c r="G13" s="30" t="str">
        <f>Q13&amp;" / "&amp;Q14</f>
        <v xml:space="preserve"> / </v>
      </c>
      <c r="H13" s="30" t="str">
        <f t="shared" ref="H13:H14" si="0">K13&amp;" / "&amp;K14</f>
        <v xml:space="preserve"> / </v>
      </c>
      <c r="I13" s="24"/>
      <c r="J13" s="21"/>
      <c r="M13" s="25"/>
      <c r="R13" s="2"/>
      <c r="S13" s="2"/>
    </row>
    <row r="14" spans="1:19" ht="13.8" customHeight="1" x14ac:dyDescent="0.3">
      <c r="A14" s="27"/>
      <c r="C14" s="27"/>
      <c r="D14" s="27"/>
      <c r="E14" s="27"/>
      <c r="F14" s="27"/>
      <c r="G14" s="27"/>
      <c r="H14" s="27"/>
      <c r="M14" s="25"/>
      <c r="R14" s="2"/>
      <c r="S14" s="2"/>
    </row>
    <row r="15" spans="1:19" ht="13.8" customHeight="1" x14ac:dyDescent="0.3">
      <c r="A15" s="35" t="e">
        <f>A13+TEXT(LEFT(M15, FIND(" ", M15)-1)/1440, "hh:mm")</f>
        <v>#VALUE!</v>
      </c>
      <c r="C15" s="32" t="str">
        <f>+"6."</f>
        <v>6.</v>
      </c>
      <c r="D15" s="31" t="e">
        <f>RIGHT(L15,LEN(L15)-SEARCH(". ",L15)-1)&amp;" ("&amp;M15&amp;")"</f>
        <v>#VALUE!</v>
      </c>
      <c r="E15" s="27"/>
      <c r="F15" s="26" t="s">
        <v>13</v>
      </c>
      <c r="G15" s="30" t="str">
        <f>IFERROR(Q15 &amp; " / " &amp; Q16,Q15)</f>
        <v xml:space="preserve"> / </v>
      </c>
      <c r="H15" s="30" t="str">
        <f>IFERROR(K15 &amp; " / " &amp; K16,K15)</f>
        <v xml:space="preserve"> / </v>
      </c>
      <c r="I15" s="24"/>
      <c r="J15" s="21"/>
      <c r="M15" s="25"/>
      <c r="R15" s="2"/>
      <c r="S15" s="2"/>
    </row>
    <row r="16" spans="1:19" ht="13.8" customHeight="1" x14ac:dyDescent="0.3">
      <c r="A16" s="27"/>
      <c r="C16" s="27"/>
      <c r="D16" s="27"/>
      <c r="E16" s="27"/>
      <c r="F16" s="27"/>
      <c r="G16" s="30"/>
      <c r="H16" s="30"/>
      <c r="M16" s="25"/>
      <c r="R16" s="2"/>
      <c r="S16" s="2"/>
    </row>
    <row r="17" spans="1:21" ht="12.6" customHeight="1" x14ac:dyDescent="0.3">
      <c r="A17" s="37" t="s">
        <v>14</v>
      </c>
      <c r="B17" s="27"/>
      <c r="C17" s="27"/>
      <c r="D17" s="27"/>
      <c r="E17" s="27"/>
      <c r="F17" s="27"/>
      <c r="M17" s="25"/>
    </row>
    <row r="18" spans="1:21" ht="12.6" customHeight="1" x14ac:dyDescent="0.3">
      <c r="A18" s="7">
        <v>0.82291666666666663</v>
      </c>
      <c r="C18" s="12" t="str">
        <f>+"■"</f>
        <v>■</v>
      </c>
      <c r="D18" s="36">
        <f>+I18</f>
        <v>0</v>
      </c>
      <c r="E18" s="27"/>
      <c r="H18" s="4"/>
      <c r="J18" s="22"/>
      <c r="M18" s="25"/>
    </row>
    <row r="19" spans="1:21" ht="16.8" customHeight="1" x14ac:dyDescent="0.3">
      <c r="A19" s="7" t="e">
        <f>A18+TEXT(LEFT(J19, FIND(" ", J19)-1)/1440, "hh:mm")</f>
        <v>#VALUE!</v>
      </c>
      <c r="C19" s="11" t="s">
        <v>15</v>
      </c>
      <c r="D19" s="31" t="e">
        <f>RIGHT(I19,LEN(I19)-SEARCH(". ",I19)-1)&amp;" ("&amp;J19&amp;")"</f>
        <v>#VALUE!</v>
      </c>
      <c r="E19" s="27"/>
      <c r="F19" s="27"/>
      <c r="G19" s="27"/>
      <c r="H19" s="2">
        <f>+K19</f>
        <v>0</v>
      </c>
      <c r="I19" s="21"/>
      <c r="J19" s="21"/>
      <c r="M19" s="25"/>
      <c r="Q19" s="14"/>
      <c r="R19" s="20"/>
    </row>
    <row r="20" spans="1:21" ht="16.8" customHeight="1" x14ac:dyDescent="0.3">
      <c r="A20" s="7" t="e">
        <f>A19+TEXT(LEFT(J20, FIND(" ", J20)-1)/1440, "hh:mm")</f>
        <v>#VALUE!</v>
      </c>
      <c r="C20" s="11" t="s">
        <v>16</v>
      </c>
      <c r="D20" s="31" t="e">
        <f>RIGHT(I20,LEN(I20)-SEARCH(". ",I20)-1)&amp;" ("&amp;J20&amp;")"</f>
        <v>#VALUE!</v>
      </c>
      <c r="E20" s="27"/>
      <c r="F20" s="27"/>
      <c r="G20" s="27"/>
      <c r="H20" s="2">
        <f t="shared" ref="H20:H22" si="1">+K20</f>
        <v>0</v>
      </c>
      <c r="I20" s="21"/>
      <c r="J20" s="21"/>
      <c r="M20" s="25"/>
      <c r="Q20" s="14"/>
      <c r="R20" s="20"/>
    </row>
    <row r="21" spans="1:21" ht="15" customHeight="1" x14ac:dyDescent="0.3">
      <c r="A21" s="35">
        <v>0.83680555555555558</v>
      </c>
      <c r="C21" s="32" t="s">
        <v>17</v>
      </c>
      <c r="D21" s="31" t="s">
        <v>18</v>
      </c>
      <c r="E21" s="27"/>
      <c r="G21" s="42" t="s">
        <v>19</v>
      </c>
      <c r="H21" s="2">
        <f t="shared" si="1"/>
        <v>0</v>
      </c>
      <c r="I21" s="21"/>
      <c r="J21" s="21"/>
      <c r="Q21" s="20"/>
      <c r="R21" s="20"/>
    </row>
    <row r="22" spans="1:21" ht="12.6" customHeight="1" x14ac:dyDescent="0.3">
      <c r="A22" s="27"/>
      <c r="C22" s="27"/>
      <c r="D22" s="27"/>
      <c r="E22" s="27"/>
      <c r="G22" s="27"/>
      <c r="H22" s="2">
        <f t="shared" si="1"/>
        <v>0</v>
      </c>
      <c r="I22" s="21"/>
      <c r="J22" s="21"/>
      <c r="Q22" s="19"/>
    </row>
    <row r="23" spans="1:21" ht="12.6" customHeight="1" x14ac:dyDescent="0.3">
      <c r="A23" s="7">
        <v>0.85763888888888884</v>
      </c>
      <c r="B23" s="7"/>
      <c r="C23" s="12" t="str">
        <f>+"■"</f>
        <v>■</v>
      </c>
      <c r="D23" s="9" t="s">
        <v>20</v>
      </c>
      <c r="E23" s="9"/>
      <c r="H23" s="2"/>
      <c r="I23" s="21"/>
      <c r="J23" s="21"/>
      <c r="Q23" s="17"/>
    </row>
    <row r="24" spans="1:21" ht="12.6" customHeight="1" x14ac:dyDescent="0.3">
      <c r="A24" s="7">
        <v>0.85972222222222228</v>
      </c>
      <c r="B24" s="7"/>
      <c r="C24" s="12" t="str">
        <f>+"■"</f>
        <v>■</v>
      </c>
      <c r="D24" s="38">
        <f>+I24</f>
        <v>0</v>
      </c>
      <c r="E24" s="27"/>
      <c r="G24" s="10" t="s">
        <v>21</v>
      </c>
      <c r="H24" s="2">
        <f>+K24</f>
        <v>0</v>
      </c>
      <c r="I24" s="21"/>
      <c r="J24" s="21"/>
      <c r="Q24" s="14"/>
    </row>
    <row r="25" spans="1:21" ht="19.2" customHeight="1" x14ac:dyDescent="0.3"/>
    <row r="26" spans="1:21" ht="15" customHeight="1" x14ac:dyDescent="0.3">
      <c r="A26" s="35"/>
      <c r="C26" s="32"/>
      <c r="D26" s="31"/>
      <c r="E26" s="27"/>
      <c r="F26" s="34"/>
      <c r="G26" s="42"/>
      <c r="H26" s="2"/>
      <c r="I26" s="21"/>
      <c r="J26" s="21"/>
      <c r="Q26" s="17"/>
      <c r="R26" s="20"/>
    </row>
    <row r="27" spans="1:21" ht="15" customHeight="1" x14ac:dyDescent="0.3">
      <c r="A27" s="27"/>
      <c r="C27" s="27"/>
      <c r="D27" s="27"/>
      <c r="E27" s="27"/>
      <c r="F27" s="27"/>
      <c r="G27" s="27"/>
      <c r="H27" s="2"/>
      <c r="I27" s="21"/>
      <c r="J27" s="21"/>
      <c r="R27" s="20"/>
    </row>
    <row r="28" spans="1:21" x14ac:dyDescent="0.3">
      <c r="A28" s="7"/>
      <c r="B28" s="7"/>
      <c r="C28" s="12"/>
      <c r="D28" s="9"/>
      <c r="E28" s="9"/>
      <c r="H28" s="2"/>
      <c r="I28" s="21"/>
      <c r="J28" s="21"/>
    </row>
    <row r="29" spans="1:21" x14ac:dyDescent="0.3">
      <c r="A29" s="7"/>
      <c r="B29" s="7"/>
      <c r="C29" s="12"/>
      <c r="D29" s="38"/>
      <c r="E29" s="27"/>
      <c r="F29" s="27"/>
      <c r="G29" s="10"/>
      <c r="H29" s="2"/>
      <c r="I29" s="21"/>
      <c r="J29" s="21"/>
      <c r="Q29" s="16"/>
    </row>
    <row r="30" spans="1:21" ht="12" customHeight="1" x14ac:dyDescent="0.3"/>
    <row r="31" spans="1:21" x14ac:dyDescent="0.3">
      <c r="A31" s="3"/>
    </row>
    <row r="32" spans="1:21" x14ac:dyDescent="0.3">
      <c r="U32" s="18"/>
    </row>
    <row r="36" spans="5:5" x14ac:dyDescent="0.3">
      <c r="E36" s="18"/>
    </row>
  </sheetData>
  <mergeCells count="44">
    <mergeCell ref="C15:C16"/>
    <mergeCell ref="A2:D2"/>
    <mergeCell ref="G11:G12"/>
    <mergeCell ref="A11:A12"/>
    <mergeCell ref="D13:E14"/>
    <mergeCell ref="D29:F29"/>
    <mergeCell ref="A10:F10"/>
    <mergeCell ref="D5:F5"/>
    <mergeCell ref="E2:F2"/>
    <mergeCell ref="A13:A14"/>
    <mergeCell ref="D18:E18"/>
    <mergeCell ref="D9:E9"/>
    <mergeCell ref="F11:F12"/>
    <mergeCell ref="C13:C14"/>
    <mergeCell ref="D8:E8"/>
    <mergeCell ref="D21:E22"/>
    <mergeCell ref="D24:E24"/>
    <mergeCell ref="D11:E12"/>
    <mergeCell ref="A15:A16"/>
    <mergeCell ref="D7:G7"/>
    <mergeCell ref="G21:G22"/>
    <mergeCell ref="C26:C27"/>
    <mergeCell ref="F3:G3"/>
    <mergeCell ref="F26:F27"/>
    <mergeCell ref="A26:A27"/>
    <mergeCell ref="D4:F4"/>
    <mergeCell ref="D20:G20"/>
    <mergeCell ref="C21:C22"/>
    <mergeCell ref="A17:F17"/>
    <mergeCell ref="G15:G16"/>
    <mergeCell ref="D19:G19"/>
    <mergeCell ref="C11:C12"/>
    <mergeCell ref="D26:E27"/>
    <mergeCell ref="A21:A22"/>
    <mergeCell ref="F13:F14"/>
    <mergeCell ref="G26:G27"/>
    <mergeCell ref="A6:F6"/>
    <mergeCell ref="F15:F16"/>
    <mergeCell ref="D1:H1"/>
    <mergeCell ref="G13:G14"/>
    <mergeCell ref="D15:E16"/>
    <mergeCell ref="H11:H12"/>
    <mergeCell ref="H13:H14"/>
    <mergeCell ref="H15:H16"/>
  </mergeCells>
  <pageMargins left="0.23622047244094491" right="3.937007874015748E-2" top="0.19685039370078741" bottom="0" header="0.31496062992125978" footer="0.31496062992125978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6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22</v>
      </c>
      <c r="E1" t="s">
        <v>23</v>
      </c>
    </row>
    <row r="2" spans="1:5" x14ac:dyDescent="0.3">
      <c r="A2" t="s">
        <v>24</v>
      </c>
      <c r="E2" t="s">
        <v>24</v>
      </c>
    </row>
    <row r="3" spans="1:5" x14ac:dyDescent="0.3">
      <c r="A3" t="s">
        <v>25</v>
      </c>
      <c r="E3" t="s">
        <v>26</v>
      </c>
    </row>
    <row r="4" spans="1:5" x14ac:dyDescent="0.3">
      <c r="A4" t="s">
        <v>27</v>
      </c>
      <c r="E4" t="s">
        <v>28</v>
      </c>
    </row>
    <row r="5" spans="1:5" x14ac:dyDescent="0.3">
      <c r="A5" t="s">
        <v>29</v>
      </c>
      <c r="E5" t="s">
        <v>30</v>
      </c>
    </row>
    <row r="6" spans="1:5" x14ac:dyDescent="0.3">
      <c r="A6" t="s">
        <v>31</v>
      </c>
      <c r="E6" t="s">
        <v>32</v>
      </c>
    </row>
    <row r="7" spans="1:5" x14ac:dyDescent="0.3">
      <c r="A7" t="s">
        <v>33</v>
      </c>
      <c r="E7" t="s">
        <v>34</v>
      </c>
    </row>
    <row r="8" spans="1:5" x14ac:dyDescent="0.3">
      <c r="A8" t="s">
        <v>35</v>
      </c>
      <c r="E8" t="s">
        <v>35</v>
      </c>
    </row>
    <row r="9" spans="1:5" x14ac:dyDescent="0.3">
      <c r="A9" t="s">
        <v>36</v>
      </c>
      <c r="E9" t="s">
        <v>37</v>
      </c>
    </row>
    <row r="10" spans="1:5" x14ac:dyDescent="0.3">
      <c r="A10" t="s">
        <v>38</v>
      </c>
      <c r="E10" t="s">
        <v>38</v>
      </c>
    </row>
    <row r="11" spans="1:5" x14ac:dyDescent="0.3">
      <c r="A11" t="s">
        <v>39</v>
      </c>
      <c r="E11" t="s">
        <v>39</v>
      </c>
    </row>
    <row r="12" spans="1:5" x14ac:dyDescent="0.3">
      <c r="A12" t="s">
        <v>40</v>
      </c>
      <c r="E12" t="s">
        <v>41</v>
      </c>
    </row>
    <row r="13" spans="1:5" x14ac:dyDescent="0.3">
      <c r="A13" t="s">
        <v>42</v>
      </c>
      <c r="E13" t="s">
        <v>42</v>
      </c>
    </row>
    <row r="14" spans="1:5" x14ac:dyDescent="0.3">
      <c r="A14" t="s">
        <v>43</v>
      </c>
      <c r="E14" t="s">
        <v>44</v>
      </c>
    </row>
    <row r="15" spans="1:5" x14ac:dyDescent="0.3">
      <c r="A15" t="s">
        <v>45</v>
      </c>
      <c r="E15" t="s">
        <v>46</v>
      </c>
    </row>
    <row r="16" spans="1:5" x14ac:dyDescent="0.3">
      <c r="A16" t="s">
        <v>47</v>
      </c>
      <c r="E16" t="s">
        <v>48</v>
      </c>
    </row>
    <row r="17" spans="1:5" x14ac:dyDescent="0.3">
      <c r="A17" t="s">
        <v>49</v>
      </c>
      <c r="E17" t="s">
        <v>50</v>
      </c>
    </row>
    <row r="18" spans="1:5" x14ac:dyDescent="0.3">
      <c r="A18" t="s">
        <v>51</v>
      </c>
      <c r="E18" t="s">
        <v>52</v>
      </c>
    </row>
    <row r="19" spans="1:5" x14ac:dyDescent="0.3">
      <c r="A19" t="s">
        <v>53</v>
      </c>
      <c r="E19" t="s">
        <v>53</v>
      </c>
    </row>
    <row r="20" spans="1:5" x14ac:dyDescent="0.3">
      <c r="A20" t="s">
        <v>54</v>
      </c>
      <c r="E20" t="s">
        <v>54</v>
      </c>
    </row>
    <row r="21" spans="1:5" x14ac:dyDescent="0.3">
      <c r="A21" t="s">
        <v>55</v>
      </c>
      <c r="E21" t="s">
        <v>56</v>
      </c>
    </row>
    <row r="22" spans="1:5" x14ac:dyDescent="0.3">
      <c r="A22" t="s">
        <v>57</v>
      </c>
      <c r="E22" t="s">
        <v>57</v>
      </c>
    </row>
    <row r="23" spans="1:5" x14ac:dyDescent="0.3">
      <c r="A23" t="s">
        <v>58</v>
      </c>
      <c r="E23" t="s">
        <v>58</v>
      </c>
    </row>
    <row r="24" spans="1:5" x14ac:dyDescent="0.3">
      <c r="A24" t="s">
        <v>59</v>
      </c>
      <c r="E24" t="s">
        <v>60</v>
      </c>
    </row>
    <row r="25" spans="1:5" x14ac:dyDescent="0.3">
      <c r="A25" t="s">
        <v>61</v>
      </c>
      <c r="E25" t="s">
        <v>61</v>
      </c>
    </row>
    <row r="26" spans="1:5" x14ac:dyDescent="0.3">
      <c r="A26" t="s">
        <v>62</v>
      </c>
      <c r="E26" t="s">
        <v>63</v>
      </c>
    </row>
    <row r="27" spans="1:5" x14ac:dyDescent="0.3">
      <c r="A27" t="s">
        <v>64</v>
      </c>
      <c r="E27" t="s">
        <v>65</v>
      </c>
    </row>
    <row r="28" spans="1:5" x14ac:dyDescent="0.3">
      <c r="A28" t="s">
        <v>66</v>
      </c>
      <c r="E28" t="s">
        <v>67</v>
      </c>
    </row>
    <row r="29" spans="1:5" x14ac:dyDescent="0.3">
      <c r="A29" t="s">
        <v>68</v>
      </c>
      <c r="E29" t="s">
        <v>69</v>
      </c>
    </row>
    <row r="30" spans="1:5" x14ac:dyDescent="0.3">
      <c r="A30" t="s">
        <v>70</v>
      </c>
      <c r="E30" t="s">
        <v>71</v>
      </c>
    </row>
    <row r="31" spans="1:5" x14ac:dyDescent="0.3">
      <c r="A31" t="s">
        <v>72</v>
      </c>
      <c r="E31" t="s">
        <v>73</v>
      </c>
    </row>
    <row r="32" spans="1:5" x14ac:dyDescent="0.3">
      <c r="A32" t="s">
        <v>74</v>
      </c>
      <c r="E32" t="s">
        <v>74</v>
      </c>
    </row>
    <row r="33" spans="1:5" x14ac:dyDescent="0.3">
      <c r="A33" t="s">
        <v>75</v>
      </c>
      <c r="E33" t="s">
        <v>75</v>
      </c>
    </row>
    <row r="34" spans="1:5" x14ac:dyDescent="0.3">
      <c r="A34" t="s">
        <v>76</v>
      </c>
      <c r="E34" t="s">
        <v>76</v>
      </c>
    </row>
    <row r="35" spans="1:5" x14ac:dyDescent="0.3">
      <c r="A35" t="s">
        <v>77</v>
      </c>
      <c r="E35" t="s">
        <v>77</v>
      </c>
    </row>
    <row r="36" spans="1:5" x14ac:dyDescent="0.3">
      <c r="A36" t="s">
        <v>78</v>
      </c>
      <c r="E36" t="s">
        <v>79</v>
      </c>
    </row>
    <row r="37" spans="1:5" x14ac:dyDescent="0.3">
      <c r="A37" t="s">
        <v>80</v>
      </c>
      <c r="E37" t="s">
        <v>81</v>
      </c>
    </row>
    <row r="38" spans="1:5" x14ac:dyDescent="0.3">
      <c r="A38" t="s">
        <v>82</v>
      </c>
      <c r="E38" t="s">
        <v>83</v>
      </c>
    </row>
    <row r="39" spans="1:5" x14ac:dyDescent="0.3">
      <c r="A39" t="s">
        <v>84</v>
      </c>
      <c r="E39" t="s">
        <v>85</v>
      </c>
    </row>
    <row r="40" spans="1:5" x14ac:dyDescent="0.3">
      <c r="A40" t="s">
        <v>86</v>
      </c>
      <c r="E40" t="s">
        <v>86</v>
      </c>
    </row>
    <row r="41" spans="1:5" x14ac:dyDescent="0.3">
      <c r="A41" t="s">
        <v>87</v>
      </c>
      <c r="E41" t="s">
        <v>87</v>
      </c>
    </row>
    <row r="42" spans="1:5" x14ac:dyDescent="0.3">
      <c r="A42" t="s">
        <v>88</v>
      </c>
      <c r="E42" t="s">
        <v>89</v>
      </c>
    </row>
    <row r="43" spans="1:5" x14ac:dyDescent="0.3">
      <c r="A43" t="s">
        <v>90</v>
      </c>
      <c r="E43" t="s">
        <v>91</v>
      </c>
    </row>
    <row r="44" spans="1:5" x14ac:dyDescent="0.3">
      <c r="A44" t="s">
        <v>92</v>
      </c>
      <c r="E44" t="s">
        <v>93</v>
      </c>
    </row>
    <row r="45" spans="1:5" x14ac:dyDescent="0.3">
      <c r="A45" t="s">
        <v>94</v>
      </c>
      <c r="E45" t="s">
        <v>94</v>
      </c>
    </row>
    <row r="46" spans="1:5" x14ac:dyDescent="0.3">
      <c r="A46" t="s">
        <v>95</v>
      </c>
      <c r="E46" t="s">
        <v>95</v>
      </c>
    </row>
    <row r="47" spans="1:5" x14ac:dyDescent="0.3">
      <c r="A47" t="s">
        <v>96</v>
      </c>
      <c r="E47" t="s">
        <v>96</v>
      </c>
    </row>
    <row r="48" spans="1:5" x14ac:dyDescent="0.3">
      <c r="A48" t="s">
        <v>97</v>
      </c>
      <c r="E48" t="s">
        <v>98</v>
      </c>
    </row>
    <row r="49" spans="1:5" x14ac:dyDescent="0.3">
      <c r="A49" t="s">
        <v>99</v>
      </c>
      <c r="E49" t="s">
        <v>100</v>
      </c>
    </row>
    <row r="50" spans="1:5" x14ac:dyDescent="0.3">
      <c r="A50" t="s">
        <v>101</v>
      </c>
      <c r="E50" t="s">
        <v>102</v>
      </c>
    </row>
    <row r="51" spans="1:5" x14ac:dyDescent="0.3">
      <c r="A51" t="s">
        <v>103</v>
      </c>
      <c r="E51" t="s">
        <v>104</v>
      </c>
    </row>
    <row r="52" spans="1:5" x14ac:dyDescent="0.3">
      <c r="A52" t="s">
        <v>105</v>
      </c>
      <c r="E52" t="s">
        <v>106</v>
      </c>
    </row>
    <row r="53" spans="1:5" x14ac:dyDescent="0.3">
      <c r="A53" t="s">
        <v>107</v>
      </c>
      <c r="E53" t="s">
        <v>108</v>
      </c>
    </row>
    <row r="54" spans="1:5" x14ac:dyDescent="0.3">
      <c r="A54" t="s">
        <v>109</v>
      </c>
      <c r="E54" t="s">
        <v>110</v>
      </c>
    </row>
    <row r="55" spans="1:5" x14ac:dyDescent="0.3">
      <c r="A55" t="s">
        <v>111</v>
      </c>
      <c r="E55" t="s">
        <v>112</v>
      </c>
    </row>
    <row r="56" spans="1:5" x14ac:dyDescent="0.3">
      <c r="A56" t="s">
        <v>113</v>
      </c>
      <c r="E56" t="s">
        <v>114</v>
      </c>
    </row>
    <row r="57" spans="1:5" x14ac:dyDescent="0.3">
      <c r="A57" t="s">
        <v>115</v>
      </c>
      <c r="E57" t="s">
        <v>116</v>
      </c>
    </row>
    <row r="58" spans="1:5" x14ac:dyDescent="0.3">
      <c r="A58" t="s">
        <v>117</v>
      </c>
      <c r="E58" t="s">
        <v>118</v>
      </c>
    </row>
    <row r="59" spans="1:5" x14ac:dyDescent="0.3">
      <c r="A59" t="s">
        <v>119</v>
      </c>
      <c r="E59" t="s">
        <v>119</v>
      </c>
    </row>
    <row r="60" spans="1:5" x14ac:dyDescent="0.3">
      <c r="A60" t="s">
        <v>120</v>
      </c>
      <c r="E60" t="s">
        <v>121</v>
      </c>
    </row>
    <row r="61" spans="1:5" x14ac:dyDescent="0.3">
      <c r="A61" t="s">
        <v>122</v>
      </c>
      <c r="E61" t="s">
        <v>123</v>
      </c>
    </row>
    <row r="62" spans="1:5" x14ac:dyDescent="0.3">
      <c r="A62" t="s">
        <v>124</v>
      </c>
      <c r="E62" t="s">
        <v>125</v>
      </c>
    </row>
    <row r="63" spans="1:5" x14ac:dyDescent="0.3">
      <c r="A63" t="s">
        <v>126</v>
      </c>
      <c r="E63" t="s">
        <v>127</v>
      </c>
    </row>
    <row r="64" spans="1:5" x14ac:dyDescent="0.3">
      <c r="A64" t="s">
        <v>128</v>
      </c>
      <c r="E64" t="s">
        <v>129</v>
      </c>
    </row>
    <row r="65" spans="1:5" x14ac:dyDescent="0.3">
      <c r="A65" t="s">
        <v>130</v>
      </c>
      <c r="E65" t="s">
        <v>131</v>
      </c>
    </row>
    <row r="66" spans="1:5" x14ac:dyDescent="0.3">
      <c r="A66" t="s">
        <v>132</v>
      </c>
      <c r="E66" t="s">
        <v>133</v>
      </c>
    </row>
    <row r="67" spans="1:5" x14ac:dyDescent="0.3">
      <c r="A67" t="s">
        <v>134</v>
      </c>
      <c r="E67" t="s">
        <v>134</v>
      </c>
    </row>
    <row r="68" spans="1:5" x14ac:dyDescent="0.3">
      <c r="A68" t="s">
        <v>135</v>
      </c>
      <c r="E68" t="s">
        <v>136</v>
      </c>
    </row>
    <row r="69" spans="1:5" x14ac:dyDescent="0.3">
      <c r="A69" t="s">
        <v>137</v>
      </c>
      <c r="E69" t="s">
        <v>138</v>
      </c>
    </row>
    <row r="70" spans="1:5" x14ac:dyDescent="0.3">
      <c r="A70" t="s">
        <v>139</v>
      </c>
      <c r="E70" t="s">
        <v>139</v>
      </c>
    </row>
    <row r="71" spans="1:5" x14ac:dyDescent="0.3">
      <c r="A71" t="s">
        <v>140</v>
      </c>
      <c r="E71" t="s">
        <v>141</v>
      </c>
    </row>
    <row r="72" spans="1:5" x14ac:dyDescent="0.3">
      <c r="A72" t="s">
        <v>142</v>
      </c>
      <c r="E72" t="s">
        <v>143</v>
      </c>
    </row>
    <row r="73" spans="1:5" x14ac:dyDescent="0.3">
      <c r="A73" t="s">
        <v>144</v>
      </c>
      <c r="E73" t="s">
        <v>145</v>
      </c>
    </row>
    <row r="74" spans="1:5" x14ac:dyDescent="0.3">
      <c r="A74" t="s">
        <v>146</v>
      </c>
      <c r="E74" t="s">
        <v>147</v>
      </c>
    </row>
    <row r="75" spans="1:5" x14ac:dyDescent="0.3">
      <c r="A75" t="s">
        <v>148</v>
      </c>
      <c r="E75" t="s">
        <v>146</v>
      </c>
    </row>
    <row r="76" spans="1:5" x14ac:dyDescent="0.3">
      <c r="A76" t="s">
        <v>149</v>
      </c>
      <c r="E76" t="s">
        <v>150</v>
      </c>
    </row>
    <row r="77" spans="1:5" x14ac:dyDescent="0.3">
      <c r="A77" t="s">
        <v>151</v>
      </c>
      <c r="E77" t="s">
        <v>151</v>
      </c>
    </row>
    <row r="78" spans="1:5" x14ac:dyDescent="0.3">
      <c r="A78" t="s">
        <v>152</v>
      </c>
      <c r="E78" t="s">
        <v>153</v>
      </c>
    </row>
    <row r="79" spans="1:5" x14ac:dyDescent="0.3">
      <c r="A79" t="s">
        <v>154</v>
      </c>
      <c r="E79" t="s">
        <v>154</v>
      </c>
    </row>
    <row r="80" spans="1:5" x14ac:dyDescent="0.3">
      <c r="A80" t="s">
        <v>155</v>
      </c>
      <c r="E80" t="s">
        <v>156</v>
      </c>
    </row>
    <row r="81" spans="1:5" x14ac:dyDescent="0.3">
      <c r="A81" t="s">
        <v>157</v>
      </c>
      <c r="E81" t="s">
        <v>158</v>
      </c>
    </row>
    <row r="82" spans="1:5" x14ac:dyDescent="0.3">
      <c r="A82" t="s">
        <v>159</v>
      </c>
      <c r="E82" t="s">
        <v>160</v>
      </c>
    </row>
    <row r="83" spans="1:5" x14ac:dyDescent="0.3">
      <c r="A83" t="s">
        <v>161</v>
      </c>
      <c r="E83" t="s">
        <v>162</v>
      </c>
    </row>
    <row r="84" spans="1:5" x14ac:dyDescent="0.3">
      <c r="A84" t="s">
        <v>163</v>
      </c>
      <c r="E84" t="s">
        <v>163</v>
      </c>
    </row>
    <row r="85" spans="1:5" x14ac:dyDescent="0.3">
      <c r="A85" t="s">
        <v>164</v>
      </c>
      <c r="E85" t="s">
        <v>165</v>
      </c>
    </row>
    <row r="86" spans="1:5" x14ac:dyDescent="0.3">
      <c r="A86" t="s">
        <v>166</v>
      </c>
      <c r="E86" t="s">
        <v>167</v>
      </c>
    </row>
    <row r="87" spans="1:5" x14ac:dyDescent="0.3">
      <c r="A87" t="s">
        <v>168</v>
      </c>
      <c r="E87" t="s">
        <v>169</v>
      </c>
    </row>
    <row r="88" spans="1:5" x14ac:dyDescent="0.3">
      <c r="A88" t="s">
        <v>170</v>
      </c>
      <c r="E88" t="s">
        <v>170</v>
      </c>
    </row>
    <row r="89" spans="1:5" x14ac:dyDescent="0.3">
      <c r="A89" t="s">
        <v>171</v>
      </c>
      <c r="E89" t="s">
        <v>172</v>
      </c>
    </row>
    <row r="90" spans="1:5" x14ac:dyDescent="0.3">
      <c r="A90" t="s">
        <v>173</v>
      </c>
      <c r="E90" t="s">
        <v>174</v>
      </c>
    </row>
    <row r="91" spans="1:5" x14ac:dyDescent="0.3">
      <c r="A91" t="s">
        <v>175</v>
      </c>
      <c r="E91" t="s">
        <v>176</v>
      </c>
    </row>
    <row r="92" spans="1:5" x14ac:dyDescent="0.3">
      <c r="A92" t="s">
        <v>177</v>
      </c>
      <c r="E92" t="s">
        <v>177</v>
      </c>
    </row>
    <row r="93" spans="1:5" x14ac:dyDescent="0.3">
      <c r="A93" t="s">
        <v>178</v>
      </c>
      <c r="E93" t="s">
        <v>178</v>
      </c>
    </row>
    <row r="94" spans="1:5" x14ac:dyDescent="0.3">
      <c r="A94" t="s">
        <v>179</v>
      </c>
      <c r="E94" t="s">
        <v>180</v>
      </c>
    </row>
    <row r="95" spans="1:5" x14ac:dyDescent="0.3">
      <c r="A95" t="s">
        <v>181</v>
      </c>
      <c r="E95" t="s">
        <v>182</v>
      </c>
    </row>
    <row r="96" spans="1:5" x14ac:dyDescent="0.3">
      <c r="A96" t="s">
        <v>183</v>
      </c>
      <c r="E96" t="s">
        <v>184</v>
      </c>
    </row>
    <row r="97" spans="1:5" x14ac:dyDescent="0.3">
      <c r="A97" t="s">
        <v>185</v>
      </c>
      <c r="E97" t="s">
        <v>185</v>
      </c>
    </row>
    <row r="98" spans="1:5" x14ac:dyDescent="0.3">
      <c r="A98" t="s">
        <v>186</v>
      </c>
      <c r="E98" t="s">
        <v>187</v>
      </c>
    </row>
    <row r="99" spans="1:5" x14ac:dyDescent="0.3">
      <c r="A99" t="s">
        <v>188</v>
      </c>
      <c r="E99" t="s">
        <v>188</v>
      </c>
    </row>
    <row r="100" spans="1:5" x14ac:dyDescent="0.3">
      <c r="A100" t="s">
        <v>189</v>
      </c>
      <c r="E100" t="s">
        <v>190</v>
      </c>
    </row>
    <row r="101" spans="1:5" x14ac:dyDescent="0.3">
      <c r="A101" t="s">
        <v>191</v>
      </c>
      <c r="E101" t="s">
        <v>191</v>
      </c>
    </row>
    <row r="102" spans="1:5" x14ac:dyDescent="0.3">
      <c r="A102" t="s">
        <v>192</v>
      </c>
      <c r="E102" t="s">
        <v>193</v>
      </c>
    </row>
    <row r="103" spans="1:5" x14ac:dyDescent="0.3">
      <c r="A103" t="s">
        <v>194</v>
      </c>
      <c r="E103" t="s">
        <v>195</v>
      </c>
    </row>
    <row r="104" spans="1:5" x14ac:dyDescent="0.3">
      <c r="A104" t="s">
        <v>196</v>
      </c>
      <c r="E104" t="s">
        <v>197</v>
      </c>
    </row>
    <row r="105" spans="1:5" x14ac:dyDescent="0.3">
      <c r="A105" t="s">
        <v>198</v>
      </c>
      <c r="E105" t="s">
        <v>198</v>
      </c>
    </row>
    <row r="106" spans="1:5" x14ac:dyDescent="0.3">
      <c r="A106" t="s">
        <v>199</v>
      </c>
      <c r="E106" t="s">
        <v>199</v>
      </c>
    </row>
    <row r="107" spans="1:5" x14ac:dyDescent="0.3">
      <c r="A107" t="s">
        <v>200</v>
      </c>
      <c r="E107" t="s">
        <v>200</v>
      </c>
    </row>
    <row r="108" spans="1:5" x14ac:dyDescent="0.3">
      <c r="A108" t="s">
        <v>201</v>
      </c>
      <c r="E108" t="s">
        <v>201</v>
      </c>
    </row>
    <row r="109" spans="1:5" x14ac:dyDescent="0.3">
      <c r="A109" t="s">
        <v>202</v>
      </c>
      <c r="E109" t="s">
        <v>203</v>
      </c>
    </row>
    <row r="110" spans="1:5" x14ac:dyDescent="0.3">
      <c r="A110" t="s">
        <v>204</v>
      </c>
      <c r="E110" t="s">
        <v>204</v>
      </c>
    </row>
    <row r="111" spans="1:5" x14ac:dyDescent="0.3">
      <c r="A111" t="s">
        <v>205</v>
      </c>
      <c r="E111" t="s">
        <v>205</v>
      </c>
    </row>
    <row r="112" spans="1:5" x14ac:dyDescent="0.3">
      <c r="A112" t="s">
        <v>206</v>
      </c>
      <c r="E112" t="s">
        <v>206</v>
      </c>
    </row>
    <row r="113" spans="1:5" x14ac:dyDescent="0.3">
      <c r="A113" t="s">
        <v>207</v>
      </c>
      <c r="E113" t="s">
        <v>208</v>
      </c>
    </row>
    <row r="114" spans="1:5" x14ac:dyDescent="0.3">
      <c r="A114" t="s">
        <v>209</v>
      </c>
      <c r="E114" t="s">
        <v>210</v>
      </c>
    </row>
    <row r="115" spans="1:5" x14ac:dyDescent="0.3">
      <c r="A115" t="s">
        <v>211</v>
      </c>
      <c r="E115" t="s">
        <v>212</v>
      </c>
    </row>
    <row r="116" spans="1:5" x14ac:dyDescent="0.3">
      <c r="A116" t="s">
        <v>213</v>
      </c>
      <c r="E116" t="s">
        <v>214</v>
      </c>
    </row>
    <row r="117" spans="1:5" x14ac:dyDescent="0.3">
      <c r="A117" t="s">
        <v>215</v>
      </c>
      <c r="E117" t="s">
        <v>216</v>
      </c>
    </row>
    <row r="118" spans="1:5" x14ac:dyDescent="0.3">
      <c r="A118" t="s">
        <v>217</v>
      </c>
      <c r="E118" t="s">
        <v>217</v>
      </c>
    </row>
    <row r="119" spans="1:5" x14ac:dyDescent="0.3">
      <c r="A119" t="s">
        <v>218</v>
      </c>
      <c r="E119" t="s">
        <v>219</v>
      </c>
    </row>
    <row r="120" spans="1:5" x14ac:dyDescent="0.3">
      <c r="A120" t="s">
        <v>220</v>
      </c>
      <c r="E120" t="s">
        <v>221</v>
      </c>
    </row>
    <row r="121" spans="1:5" x14ac:dyDescent="0.3">
      <c r="A121" t="s">
        <v>222</v>
      </c>
      <c r="E121" t="s">
        <v>223</v>
      </c>
    </row>
    <row r="122" spans="1:5" x14ac:dyDescent="0.3">
      <c r="A122" t="s">
        <v>224</v>
      </c>
      <c r="E122" t="s">
        <v>224</v>
      </c>
    </row>
    <row r="123" spans="1:5" x14ac:dyDescent="0.3">
      <c r="A123" t="s">
        <v>225</v>
      </c>
      <c r="E123" t="s">
        <v>225</v>
      </c>
    </row>
    <row r="124" spans="1:5" x14ac:dyDescent="0.3">
      <c r="A124" t="s">
        <v>226</v>
      </c>
      <c r="E124" t="s">
        <v>227</v>
      </c>
    </row>
    <row r="125" spans="1:5" x14ac:dyDescent="0.3">
      <c r="A125" t="s">
        <v>228</v>
      </c>
      <c r="E125" t="s">
        <v>228</v>
      </c>
    </row>
    <row r="126" spans="1:5" x14ac:dyDescent="0.3">
      <c r="A126" t="s">
        <v>229</v>
      </c>
      <c r="E126" t="s">
        <v>230</v>
      </c>
    </row>
    <row r="127" spans="1:5" x14ac:dyDescent="0.3">
      <c r="A127" t="s">
        <v>231</v>
      </c>
      <c r="E127" t="s">
        <v>232</v>
      </c>
    </row>
    <row r="128" spans="1:5" x14ac:dyDescent="0.3">
      <c r="A128" t="s">
        <v>233</v>
      </c>
      <c r="E128" t="s">
        <v>234</v>
      </c>
    </row>
    <row r="129" spans="1:5" x14ac:dyDescent="0.3">
      <c r="A129" t="s">
        <v>235</v>
      </c>
      <c r="E129" t="s">
        <v>236</v>
      </c>
    </row>
    <row r="130" spans="1:5" x14ac:dyDescent="0.3">
      <c r="A130" t="s">
        <v>237</v>
      </c>
      <c r="E130" t="s">
        <v>238</v>
      </c>
    </row>
    <row r="131" spans="1:5" x14ac:dyDescent="0.3">
      <c r="A131" t="s">
        <v>239</v>
      </c>
      <c r="E131" t="s">
        <v>240</v>
      </c>
    </row>
    <row r="132" spans="1:5" x14ac:dyDescent="0.3">
      <c r="A132" t="s">
        <v>241</v>
      </c>
      <c r="E132" t="s">
        <v>241</v>
      </c>
    </row>
    <row r="133" spans="1:5" x14ac:dyDescent="0.3">
      <c r="A133" t="s">
        <v>242</v>
      </c>
      <c r="E133" t="s">
        <v>243</v>
      </c>
    </row>
    <row r="134" spans="1:5" x14ac:dyDescent="0.3">
      <c r="A134" t="s">
        <v>244</v>
      </c>
      <c r="E134" t="s">
        <v>245</v>
      </c>
    </row>
    <row r="135" spans="1:5" x14ac:dyDescent="0.3">
      <c r="A135" t="s">
        <v>246</v>
      </c>
      <c r="E135" t="s">
        <v>247</v>
      </c>
    </row>
    <row r="136" spans="1:5" x14ac:dyDescent="0.3">
      <c r="A136" t="s">
        <v>248</v>
      </c>
      <c r="E136" t="s">
        <v>249</v>
      </c>
    </row>
    <row r="137" spans="1:5" x14ac:dyDescent="0.3">
      <c r="A137" t="s">
        <v>250</v>
      </c>
      <c r="E137" t="s">
        <v>250</v>
      </c>
    </row>
    <row r="138" spans="1:5" x14ac:dyDescent="0.3">
      <c r="A138" t="s">
        <v>251</v>
      </c>
      <c r="E138" t="s">
        <v>252</v>
      </c>
    </row>
    <row r="139" spans="1:5" x14ac:dyDescent="0.3">
      <c r="A139" t="s">
        <v>253</v>
      </c>
      <c r="E139" t="s">
        <v>253</v>
      </c>
    </row>
    <row r="140" spans="1:5" x14ac:dyDescent="0.3">
      <c r="A140" t="s">
        <v>254</v>
      </c>
      <c r="E140" t="s">
        <v>254</v>
      </c>
    </row>
    <row r="141" spans="1:5" x14ac:dyDescent="0.3">
      <c r="A141" t="s">
        <v>255</v>
      </c>
      <c r="E141" t="s">
        <v>255</v>
      </c>
    </row>
    <row r="142" spans="1:5" x14ac:dyDescent="0.3">
      <c r="A142" t="s">
        <v>256</v>
      </c>
      <c r="E142" t="s">
        <v>257</v>
      </c>
    </row>
    <row r="143" spans="1:5" x14ac:dyDescent="0.3">
      <c r="A143" t="s">
        <v>258</v>
      </c>
      <c r="E143" t="s">
        <v>258</v>
      </c>
    </row>
    <row r="144" spans="1:5" x14ac:dyDescent="0.3">
      <c r="A144" t="s">
        <v>259</v>
      </c>
      <c r="E144" t="s">
        <v>260</v>
      </c>
    </row>
    <row r="145" spans="1:5" x14ac:dyDescent="0.3">
      <c r="A145" t="s">
        <v>261</v>
      </c>
      <c r="E145" t="s">
        <v>262</v>
      </c>
    </row>
    <row r="146" spans="1:5" x14ac:dyDescent="0.3">
      <c r="A146" t="s">
        <v>263</v>
      </c>
      <c r="E146" t="s">
        <v>264</v>
      </c>
    </row>
    <row r="147" spans="1:5" x14ac:dyDescent="0.3">
      <c r="A147" t="s">
        <v>265</v>
      </c>
      <c r="E147" t="s">
        <v>266</v>
      </c>
    </row>
    <row r="148" spans="1:5" x14ac:dyDescent="0.3">
      <c r="A148" t="s">
        <v>267</v>
      </c>
      <c r="E148" t="s">
        <v>268</v>
      </c>
    </row>
    <row r="149" spans="1:5" x14ac:dyDescent="0.3">
      <c r="A149" t="s">
        <v>269</v>
      </c>
      <c r="E149" t="s">
        <v>269</v>
      </c>
    </row>
    <row r="150" spans="1:5" x14ac:dyDescent="0.3">
      <c r="A150" t="s">
        <v>270</v>
      </c>
      <c r="E150" t="s">
        <v>271</v>
      </c>
    </row>
    <row r="151" spans="1:5" x14ac:dyDescent="0.3">
      <c r="A151" t="s">
        <v>272</v>
      </c>
      <c r="E151" t="s">
        <v>273</v>
      </c>
    </row>
    <row r="152" spans="1:5" x14ac:dyDescent="0.3">
      <c r="A152" t="s">
        <v>274</v>
      </c>
      <c r="E152" t="s">
        <v>274</v>
      </c>
    </row>
    <row r="153" spans="1:5" x14ac:dyDescent="0.3">
      <c r="A153" t="s">
        <v>275</v>
      </c>
      <c r="E153" t="s">
        <v>275</v>
      </c>
    </row>
    <row r="154" spans="1:5" x14ac:dyDescent="0.3">
      <c r="A154" t="s">
        <v>276</v>
      </c>
      <c r="E154" t="s">
        <v>277</v>
      </c>
    </row>
    <row r="155" spans="1:5" x14ac:dyDescent="0.3">
      <c r="A155" t="s">
        <v>278</v>
      </c>
      <c r="E155" t="s">
        <v>278</v>
      </c>
    </row>
    <row r="156" spans="1:5" x14ac:dyDescent="0.3">
      <c r="A156" t="s">
        <v>279</v>
      </c>
      <c r="E156" t="s">
        <v>280</v>
      </c>
    </row>
    <row r="157" spans="1:5" x14ac:dyDescent="0.3">
      <c r="A157" t="s">
        <v>281</v>
      </c>
      <c r="E157" t="s">
        <v>282</v>
      </c>
    </row>
    <row r="158" spans="1:5" x14ac:dyDescent="0.3">
      <c r="A158" t="s">
        <v>283</v>
      </c>
      <c r="E158" t="s">
        <v>284</v>
      </c>
    </row>
    <row r="159" spans="1:5" x14ac:dyDescent="0.3">
      <c r="A159" t="s">
        <v>285</v>
      </c>
      <c r="E159" t="s">
        <v>285</v>
      </c>
    </row>
    <row r="160" spans="1:5" x14ac:dyDescent="0.3">
      <c r="A160" t="s">
        <v>286</v>
      </c>
      <c r="E160" t="s">
        <v>286</v>
      </c>
    </row>
    <row r="161" spans="1:5" x14ac:dyDescent="0.3">
      <c r="A161" t="s">
        <v>287</v>
      </c>
      <c r="E161" t="s">
        <v>287</v>
      </c>
    </row>
    <row r="162" spans="1:5" x14ac:dyDescent="0.3">
      <c r="A162" t="s">
        <v>288</v>
      </c>
      <c r="E162" t="s">
        <v>289</v>
      </c>
    </row>
    <row r="163" spans="1:5" x14ac:dyDescent="0.3">
      <c r="A163" t="s">
        <v>290</v>
      </c>
      <c r="E163" t="s">
        <v>291</v>
      </c>
    </row>
    <row r="164" spans="1:5" x14ac:dyDescent="0.3">
      <c r="A164" t="s">
        <v>292</v>
      </c>
      <c r="E164" t="s">
        <v>293</v>
      </c>
    </row>
    <row r="165" spans="1:5" x14ac:dyDescent="0.3">
      <c r="A165" t="s">
        <v>294</v>
      </c>
      <c r="E165" t="s">
        <v>295</v>
      </c>
    </row>
    <row r="166" spans="1:5" x14ac:dyDescent="0.3">
      <c r="A166" t="s">
        <v>296</v>
      </c>
      <c r="E166" t="s">
        <v>296</v>
      </c>
    </row>
    <row r="167" spans="1:5" x14ac:dyDescent="0.3">
      <c r="A167" t="s">
        <v>297</v>
      </c>
      <c r="E167" t="s">
        <v>298</v>
      </c>
    </row>
    <row r="168" spans="1:5" x14ac:dyDescent="0.3">
      <c r="A168" t="s">
        <v>299</v>
      </c>
      <c r="E168" t="s">
        <v>300</v>
      </c>
    </row>
    <row r="169" spans="1:5" x14ac:dyDescent="0.3">
      <c r="A169" t="s">
        <v>301</v>
      </c>
      <c r="E169" t="s">
        <v>302</v>
      </c>
    </row>
    <row r="170" spans="1:5" x14ac:dyDescent="0.3">
      <c r="A170" t="s">
        <v>303</v>
      </c>
      <c r="E170" t="s">
        <v>304</v>
      </c>
    </row>
    <row r="171" spans="1:5" x14ac:dyDescent="0.3">
      <c r="A171" t="s">
        <v>305</v>
      </c>
      <c r="E171" t="s">
        <v>306</v>
      </c>
    </row>
    <row r="172" spans="1:5" x14ac:dyDescent="0.3">
      <c r="A172" t="s">
        <v>307</v>
      </c>
      <c r="E172" t="s">
        <v>307</v>
      </c>
    </row>
    <row r="173" spans="1:5" x14ac:dyDescent="0.3">
      <c r="A173" t="s">
        <v>308</v>
      </c>
      <c r="E173" t="s">
        <v>309</v>
      </c>
    </row>
    <row r="174" spans="1:5" x14ac:dyDescent="0.3">
      <c r="A174" t="s">
        <v>310</v>
      </c>
      <c r="E174" t="s">
        <v>310</v>
      </c>
    </row>
    <row r="175" spans="1:5" x14ac:dyDescent="0.3">
      <c r="A175" t="s">
        <v>311</v>
      </c>
      <c r="E175" t="s">
        <v>312</v>
      </c>
    </row>
    <row r="176" spans="1:5" x14ac:dyDescent="0.3">
      <c r="A176" t="s">
        <v>313</v>
      </c>
      <c r="E176" t="s">
        <v>314</v>
      </c>
    </row>
    <row r="177" spans="1:5" x14ac:dyDescent="0.3">
      <c r="A177" t="s">
        <v>268</v>
      </c>
      <c r="E177" t="s">
        <v>268</v>
      </c>
    </row>
    <row r="178" spans="1:5" x14ac:dyDescent="0.3">
      <c r="A178" t="s">
        <v>315</v>
      </c>
      <c r="E178" t="s">
        <v>316</v>
      </c>
    </row>
    <row r="179" spans="1:5" x14ac:dyDescent="0.3">
      <c r="A179" t="s">
        <v>317</v>
      </c>
      <c r="E179" t="s">
        <v>318</v>
      </c>
    </row>
    <row r="180" spans="1:5" x14ac:dyDescent="0.3">
      <c r="A180" t="s">
        <v>319</v>
      </c>
      <c r="E180" t="s">
        <v>320</v>
      </c>
    </row>
    <row r="181" spans="1:5" x14ac:dyDescent="0.3">
      <c r="A181" t="s">
        <v>321</v>
      </c>
      <c r="E181" t="s">
        <v>321</v>
      </c>
    </row>
    <row r="182" spans="1:5" x14ac:dyDescent="0.3">
      <c r="A182" t="s">
        <v>322</v>
      </c>
      <c r="E182" t="s">
        <v>322</v>
      </c>
    </row>
    <row r="183" spans="1:5" x14ac:dyDescent="0.3">
      <c r="A183" t="s">
        <v>323</v>
      </c>
      <c r="E183" t="s">
        <v>323</v>
      </c>
    </row>
    <row r="184" spans="1:5" x14ac:dyDescent="0.3">
      <c r="A184" t="s">
        <v>324</v>
      </c>
      <c r="E184" t="s">
        <v>325</v>
      </c>
    </row>
    <row r="185" spans="1:5" x14ac:dyDescent="0.3">
      <c r="A185" t="s">
        <v>326</v>
      </c>
      <c r="E185" t="s">
        <v>327</v>
      </c>
    </row>
    <row r="186" spans="1:5" x14ac:dyDescent="0.3">
      <c r="A186" t="s">
        <v>328</v>
      </c>
      <c r="E186" t="s">
        <v>328</v>
      </c>
    </row>
    <row r="187" spans="1:5" x14ac:dyDescent="0.3">
      <c r="A187" t="s">
        <v>329</v>
      </c>
      <c r="E187" t="s">
        <v>329</v>
      </c>
    </row>
    <row r="188" spans="1:5" x14ac:dyDescent="0.3">
      <c r="A188" t="s">
        <v>330</v>
      </c>
      <c r="E188" t="s">
        <v>331</v>
      </c>
    </row>
    <row r="189" spans="1:5" x14ac:dyDescent="0.3">
      <c r="A189" t="s">
        <v>332</v>
      </c>
      <c r="E189" t="s">
        <v>333</v>
      </c>
    </row>
    <row r="190" spans="1:5" x14ac:dyDescent="0.3">
      <c r="A190" t="s">
        <v>334</v>
      </c>
      <c r="E190" t="s">
        <v>334</v>
      </c>
    </row>
    <row r="191" spans="1:5" x14ac:dyDescent="0.3">
      <c r="A191" t="s">
        <v>335</v>
      </c>
      <c r="E191" t="s">
        <v>335</v>
      </c>
    </row>
    <row r="192" spans="1:5" x14ac:dyDescent="0.3">
      <c r="A192" t="s">
        <v>336</v>
      </c>
      <c r="E192" t="s">
        <v>336</v>
      </c>
    </row>
    <row r="193" spans="1:5" x14ac:dyDescent="0.3">
      <c r="A193" t="s">
        <v>337</v>
      </c>
      <c r="E193" t="s">
        <v>338</v>
      </c>
    </row>
    <row r="194" spans="1:5" x14ac:dyDescent="0.3">
      <c r="A194" t="s">
        <v>339</v>
      </c>
      <c r="E194" t="s">
        <v>339</v>
      </c>
    </row>
    <row r="195" spans="1:5" x14ac:dyDescent="0.3">
      <c r="A195" t="s">
        <v>340</v>
      </c>
      <c r="E195" t="s">
        <v>340</v>
      </c>
    </row>
    <row r="196" spans="1:5" x14ac:dyDescent="0.3">
      <c r="A196" t="s">
        <v>341</v>
      </c>
      <c r="E196" t="s">
        <v>341</v>
      </c>
    </row>
    <row r="197" spans="1:5" x14ac:dyDescent="0.3">
      <c r="A197" t="s">
        <v>342</v>
      </c>
      <c r="E197" t="s">
        <v>342</v>
      </c>
    </row>
    <row r="198" spans="1:5" x14ac:dyDescent="0.3">
      <c r="A198" t="s">
        <v>343</v>
      </c>
      <c r="E198" t="s">
        <v>343</v>
      </c>
    </row>
    <row r="199" spans="1:5" x14ac:dyDescent="0.3">
      <c r="A199" t="s">
        <v>344</v>
      </c>
      <c r="E199" t="s">
        <v>344</v>
      </c>
    </row>
    <row r="200" spans="1:5" x14ac:dyDescent="0.3">
      <c r="A200" t="s">
        <v>345</v>
      </c>
      <c r="E200" t="s">
        <v>345</v>
      </c>
    </row>
    <row r="201" spans="1:5" x14ac:dyDescent="0.3">
      <c r="A201" t="s">
        <v>346</v>
      </c>
      <c r="E201" t="s">
        <v>346</v>
      </c>
    </row>
    <row r="202" spans="1:5" x14ac:dyDescent="0.3">
      <c r="A202" t="s">
        <v>347</v>
      </c>
      <c r="E202" t="s">
        <v>347</v>
      </c>
    </row>
    <row r="203" spans="1:5" x14ac:dyDescent="0.3">
      <c r="A203" t="s">
        <v>348</v>
      </c>
      <c r="E203" t="s">
        <v>348</v>
      </c>
    </row>
    <row r="204" spans="1:5" x14ac:dyDescent="0.3">
      <c r="A204" t="s">
        <v>349</v>
      </c>
      <c r="E204" t="s">
        <v>349</v>
      </c>
    </row>
    <row r="205" spans="1:5" x14ac:dyDescent="0.3">
      <c r="A205" t="s">
        <v>350</v>
      </c>
      <c r="E205" t="s">
        <v>350</v>
      </c>
    </row>
    <row r="206" spans="1:5" x14ac:dyDescent="0.3">
      <c r="A206" t="s">
        <v>351</v>
      </c>
      <c r="E206" t="s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plantilla</vt:lpstr>
      <vt:lpstr>Participantes</vt:lpstr>
      <vt:lpstr>plantilla!Área_de_impresión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Rocha</dc:creator>
  <cp:lastModifiedBy>Israel Rocha</cp:lastModifiedBy>
  <cp:lastPrinted>2025-06-19T18:51:49Z</cp:lastPrinted>
  <dcterms:created xsi:type="dcterms:W3CDTF">2024-04-20T03:06:52Z</dcterms:created>
  <dcterms:modified xsi:type="dcterms:W3CDTF">2025-12-25T21:59:00Z</dcterms:modified>
</cp:coreProperties>
</file>